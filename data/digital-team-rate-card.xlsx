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Cost Modeller" sheetId="2" state="visible" r:id="rId2"/>
    <sheet xmlns:r="http://schemas.openxmlformats.org/officeDocument/2006/relationships" name="AI Agent Referenc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£#,##0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A1A18"/>
      <sz val="10"/>
    </font>
    <font>
      <name val="Arial"/>
      <charset val="1"/>
      <family val="0"/>
      <color rgb="FF444441"/>
      <sz val="10"/>
    </font>
    <font>
      <name val="Arial"/>
      <charset val="1"/>
      <family val="0"/>
      <b val="1"/>
      <color rgb="FF888780"/>
      <sz val="10"/>
    </font>
    <font>
      <name val="Arial"/>
      <charset val="1"/>
      <family val="0"/>
      <i val="1"/>
      <color rgb="FF444441"/>
      <sz val="10"/>
    </font>
    <font>
      <name val="Arial"/>
      <charset val="1"/>
      <family val="0"/>
      <b val="1"/>
      <color rgb="FF1F5BA6"/>
      <sz val="10"/>
    </font>
    <font>
      <name val="Arial"/>
      <charset val="1"/>
      <family val="0"/>
      <i val="1"/>
      <color rgb="FF444441"/>
      <sz val="9"/>
    </font>
    <font>
      <name val="Arial"/>
      <charset val="1"/>
      <family val="0"/>
      <b val="1"/>
      <color rgb="FF444441"/>
      <sz val="10"/>
    </font>
    <font>
      <name val="Arial"/>
      <charset val="1"/>
      <family val="0"/>
      <b val="1"/>
      <color rgb="FF163F75"/>
      <sz val="10"/>
    </font>
    <font>
      <name val="Arial"/>
      <charset val="1"/>
      <family val="0"/>
      <b val="1"/>
      <color rgb="FF1A1A18"/>
      <sz val="9"/>
    </font>
    <font>
      <name val="Arial"/>
      <charset val="1"/>
      <family val="0"/>
      <i val="1"/>
      <color rgb="FF888780"/>
      <sz val="8"/>
    </font>
    <font>
      <name val="Arial"/>
      <charset val="1"/>
      <family val="0"/>
      <color rgb="FF1A1A18"/>
      <sz val="10"/>
    </font>
    <font>
      <name val="Arial"/>
      <charset val="1"/>
      <family val="0"/>
      <color rgb="FF1F5BA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2"/>
    </font>
    <font>
      <name val="Arial"/>
      <b val="1"/>
      <color rgb="00FFFFFF"/>
      <sz val="10"/>
    </font>
    <font>
      <name val="Arial"/>
      <b val="1"/>
      <color rgb="00185FA5"/>
      <sz val="10"/>
    </font>
    <font>
      <name val="Arial"/>
      <b val="1"/>
      <color rgb="00854F0B"/>
      <sz val="10"/>
    </font>
    <font>
      <name val="Arial"/>
      <b val="1"/>
      <color rgb="00A32D2D"/>
      <sz val="10"/>
    </font>
    <font>
      <name val="Arial"/>
      <b val="1"/>
      <color rgb="0053338B"/>
      <sz val="10"/>
    </font>
    <font>
      <name val="Arial"/>
      <b val="1"/>
      <color rgb="003B6D11"/>
      <sz val="10"/>
    </font>
  </fonts>
  <fills count="21">
    <fill>
      <patternFill/>
    </fill>
    <fill>
      <patternFill patternType="gray125"/>
    </fill>
    <fill>
      <patternFill patternType="solid">
        <fgColor rgb="FF1F5BA6"/>
        <bgColor rgb="FF163F75"/>
      </patternFill>
    </fill>
    <fill>
      <patternFill patternType="solid">
        <fgColor rgb="FF163F75"/>
        <bgColor rgb="FF333399"/>
      </patternFill>
    </fill>
    <fill>
      <patternFill patternType="solid">
        <fgColor rgb="FFD6E4F7"/>
        <bgColor rgb="FFEAF0FB"/>
      </patternFill>
    </fill>
    <fill>
      <patternFill patternType="solid">
        <fgColor rgb="FFEAF0FB"/>
        <bgColor rgb="FFE6F5FB"/>
      </patternFill>
    </fill>
    <fill>
      <patternFill patternType="solid">
        <fgColor rgb="FFE8F5EE"/>
        <bgColor rgb="FFE6F5FB"/>
      </patternFill>
    </fill>
    <fill>
      <patternFill patternType="solid">
        <fgColor rgb="FFFFF8E6"/>
        <bgColor rgb="FFFFF0E0"/>
      </patternFill>
    </fill>
    <fill>
      <patternFill patternType="solid">
        <fgColor rgb="FFF5EAF5"/>
        <bgColor rgb="FFF1EFE8"/>
      </patternFill>
    </fill>
    <fill>
      <patternFill patternType="solid">
        <fgColor rgb="FFE6F5FB"/>
        <bgColor rgb="FFEAF0FB"/>
      </patternFill>
    </fill>
    <fill>
      <patternFill patternType="solid">
        <fgColor rgb="FFFDE8E8"/>
        <bgColor rgb="FFF5EAF5"/>
      </patternFill>
    </fill>
    <fill>
      <patternFill patternType="solid">
        <fgColor rgb="FFFFF0E0"/>
        <bgColor rgb="FFFFF8E6"/>
      </patternFill>
    </fill>
    <fill>
      <patternFill patternType="solid">
        <fgColor rgb="FFF0FDE8"/>
        <bgColor rgb="FFE8F5EE"/>
      </patternFill>
    </fill>
    <fill>
      <patternFill patternType="solid">
        <fgColor rgb="FFF1EFE8"/>
        <bgColor rgb="FFF5EAF5"/>
      </patternFill>
    </fill>
    <fill>
      <patternFill patternType="solid">
        <fgColor rgb="FFFFFFFF"/>
        <bgColor rgb="FFFFF8E6"/>
      </patternFill>
    </fill>
    <fill>
      <patternFill patternType="solid">
        <fgColor rgb="001F5BA6"/>
      </patternFill>
    </fill>
    <fill>
      <patternFill patternType="solid">
        <fgColor rgb="00EAF0FB"/>
      </patternFill>
    </fill>
    <fill>
      <patternFill patternType="solid">
        <fgColor rgb="00FFF8E6"/>
      </patternFill>
    </fill>
    <fill>
      <patternFill patternType="solid">
        <fgColor rgb="00FDE8E8"/>
      </patternFill>
    </fill>
    <fill>
      <patternFill patternType="solid">
        <fgColor rgb="00F5EAF5"/>
      </patternFill>
    </fill>
    <fill>
      <patternFill patternType="solid">
        <fgColor rgb="00E8F5EE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F5BA6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F5BA6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164" fontId="8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164" fontId="8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164" fontId="8" fillId="8" borderId="2" applyAlignment="1" pivotButton="0" quotePrefix="0" xfId="0">
      <alignment horizontal="center" vertical="center" wrapText="1"/>
    </xf>
    <xf numFmtId="164" fontId="11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164" fontId="8" fillId="9" borderId="2" applyAlignment="1" pivotButton="0" quotePrefix="0" xfId="0">
      <alignment horizontal="center" vertical="center" wrapText="1"/>
    </xf>
    <xf numFmtId="164" fontId="11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164" fontId="8" fillId="10" borderId="2" applyAlignment="1" pivotButton="0" quotePrefix="0" xfId="0">
      <alignment horizontal="center" vertical="center" wrapText="1"/>
    </xf>
    <xf numFmtId="164" fontId="11" fillId="10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164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164" fontId="8" fillId="11" borderId="2" applyAlignment="1" pivotButton="0" quotePrefix="0" xfId="0">
      <alignment horizontal="center" vertical="center" wrapText="1"/>
    </xf>
    <xf numFmtId="164" fontId="11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164" fontId="8" fillId="11" borderId="1" applyAlignment="1" pivotButton="0" quotePrefix="0" xfId="0">
      <alignment horizontal="center" vertical="center" wrapText="1"/>
    </xf>
    <xf numFmtId="164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9" fillId="12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164" fontId="8" fillId="12" borderId="2" applyAlignment="1" pivotButton="0" quotePrefix="0" xfId="0">
      <alignment horizontal="center" vertical="center" wrapText="1"/>
    </xf>
    <xf numFmtId="164" fontId="11" fillId="12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164" fontId="8" fillId="12" borderId="1" applyAlignment="1" pivotButton="0" quotePrefix="0" xfId="0">
      <alignment horizontal="center" vertical="center" wrapText="1"/>
    </xf>
    <xf numFmtId="164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164" fontId="8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12" fillId="14" borderId="3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164" fontId="18" fillId="5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164" fontId="18" fillId="14" borderId="1" applyAlignment="1" pivotButton="0" quotePrefix="0" xfId="0">
      <alignment horizontal="center" vertical="center" wrapText="1"/>
    </xf>
    <xf numFmtId="164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/>
    </xf>
    <xf numFmtId="164" fontId="17" fillId="5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/>
    </xf>
    <xf numFmtId="164" fontId="17" fillId="14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general" vertical="bottom"/>
    </xf>
    <xf numFmtId="164" fontId="20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21" fillId="15" borderId="6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22" fillId="16" borderId="6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23" fillId="17" borderId="6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4" fillId="18" borderId="6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25" fillId="19" borderId="6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164" fontId="8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left" vertical="center" wrapText="1"/>
    </xf>
    <xf numFmtId="0" fontId="22" fillId="16" borderId="7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164" fontId="8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164" fontId="8" fillId="8" borderId="2" applyAlignment="1" pivotButton="0" quotePrefix="0" xfId="0">
      <alignment horizontal="center" vertical="center" wrapText="1"/>
    </xf>
    <xf numFmtId="164" fontId="11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164" fontId="8" fillId="9" borderId="2" applyAlignment="1" pivotButton="0" quotePrefix="0" xfId="0">
      <alignment horizontal="center" vertical="center" wrapText="1"/>
    </xf>
    <xf numFmtId="164" fontId="11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0" fontId="23" fillId="17" borderId="7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6" fillId="20" borderId="6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164" fontId="8" fillId="10" borderId="2" applyAlignment="1" pivotButton="0" quotePrefix="0" xfId="0">
      <alignment horizontal="center" vertical="center" wrapText="1"/>
    </xf>
    <xf numFmtId="164" fontId="11" fillId="10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164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164" fontId="8" fillId="11" borderId="2" applyAlignment="1" pivotButton="0" quotePrefix="0" xfId="0">
      <alignment horizontal="center" vertical="center" wrapText="1"/>
    </xf>
    <xf numFmtId="164" fontId="11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left" vertical="center" wrapText="1"/>
    </xf>
    <xf numFmtId="0" fontId="24" fillId="18" borderId="7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164" fontId="8" fillId="11" borderId="1" applyAlignment="1" pivotButton="0" quotePrefix="0" xfId="0">
      <alignment horizontal="center" vertical="center" wrapText="1"/>
    </xf>
    <xf numFmtId="164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9" fillId="12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164" fontId="8" fillId="12" borderId="2" applyAlignment="1" pivotButton="0" quotePrefix="0" xfId="0">
      <alignment horizontal="center" vertical="center" wrapText="1"/>
    </xf>
    <xf numFmtId="164" fontId="11" fillId="12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left" vertical="center" wrapText="1"/>
    </xf>
    <xf numFmtId="0" fontId="26" fillId="20" borderId="7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164" fontId="8" fillId="12" borderId="1" applyAlignment="1" pivotButton="0" quotePrefix="0" xfId="0">
      <alignment horizontal="center" vertical="center" wrapText="1"/>
    </xf>
    <xf numFmtId="164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164" fontId="8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12" fillId="14" borderId="3" applyAlignment="1" pivotButton="0" quotePrefix="0" xfId="0">
      <alignment horizontal="left" vertical="center" wrapText="1"/>
    </xf>
    <xf numFmtId="0" fontId="0" fillId="0" borderId="5" pivotButton="0" quotePrefix="0" xfId="0"/>
    <xf numFmtId="0" fontId="16" fillId="1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164" fontId="18" fillId="5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164" fontId="18" fillId="14" borderId="1" applyAlignment="1" pivotButton="0" quotePrefix="0" xfId="0">
      <alignment horizontal="center" vertical="center" wrapText="1"/>
    </xf>
    <xf numFmtId="164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/>
    </xf>
    <xf numFmtId="164" fontId="17" fillId="5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/>
    </xf>
    <xf numFmtId="164" fontId="17" fillId="14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general" vertical="bottom"/>
    </xf>
    <xf numFmtId="164" fontId="20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780"/>
      <rgbColor rgb="FF9999FF"/>
      <rgbColor rgb="FF993366"/>
      <rgbColor rgb="FFFFF8E6"/>
      <rgbColor rgb="FFE6F5FB"/>
      <rgbColor rgb="FF660066"/>
      <rgbColor rgb="FFFF8080"/>
      <rgbColor rgb="FF1F5BA6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E"/>
      <rgbColor rgb="FFF0FDE8"/>
      <rgbColor rgb="FFFFF0E0"/>
      <rgbColor rgb="FFEAF0FB"/>
      <rgbColor rgb="FFF5EAF5"/>
      <rgbColor rgb="FFF1EFE8"/>
      <rgbColor rgb="FFFDE8E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F75"/>
      <rgbColor rgb="FF339966"/>
      <rgbColor rgb="FF003300"/>
      <rgbColor rgb="FF1A1A18"/>
      <rgbColor rgb="FF993300"/>
      <rgbColor rgb="FF993366"/>
      <rgbColor rgb="FF333399"/>
      <rgbColor rgb="FF44444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J5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60" min="1" max="1"/>
    <col width="28" customWidth="1" style="160" min="2" max="2"/>
    <col width="22" customWidth="1" style="160" min="3" max="3"/>
    <col width="16" customWidth="1" style="160" min="4" max="8"/>
    <col width="22" customWidth="1" style="160" min="9" max="9"/>
    <col width="22" customWidth="1" style="161" min="10" max="10"/>
  </cols>
  <sheetData>
    <row r="1" ht="36" customHeight="1" s="161">
      <c r="B1" s="162" t="inlineStr">
        <is>
          <t>Digital Team Rate Card — UK Public Sector Contractor Day Rates</t>
        </is>
      </c>
    </row>
    <row r="2" ht="19.5" customHeight="1" s="161">
      <c r="B2" s="163" t="inlineStr">
        <is>
          <t>Day rates shown in GBP (£). Source: Crown Commercial Service, market benchmarking 2024–25. For indicative cost modelling only.</t>
        </is>
      </c>
    </row>
    <row r="3" ht="7.5" customHeight="1" s="161">
      <c r="B3" s="164" t="n"/>
    </row>
    <row r="4" ht="39.75" customHeight="1" s="161">
      <c r="B4" s="165" t="inlineStr">
        <is>
          <t>Role</t>
        </is>
      </c>
      <c r="C4" s="165" t="inlineStr">
        <is>
          <t>Discipline</t>
        </is>
      </c>
      <c r="D4" s="165" t="inlineStr">
        <is>
          <t>Seniority band</t>
        </is>
      </c>
      <c r="E4" s="165" t="inlineStr">
        <is>
          <t>CS grade equiv.</t>
        </is>
      </c>
      <c r="F4" s="165" t="inlineStr">
        <is>
          <t>Day rate — low
(£)</t>
        </is>
      </c>
      <c r="G4" s="165" t="inlineStr">
        <is>
          <t>Day rate — mid
(£)</t>
        </is>
      </c>
      <c r="H4" s="165" t="inlineStr">
        <is>
          <t>Day rate — high
(£)</t>
        </is>
      </c>
      <c r="I4" s="165" t="inlineStr">
        <is>
          <t>Notes</t>
        </is>
      </c>
      <c r="J4" s="166" t="inlineStr">
        <is>
          <t>SFIA level</t>
        </is>
      </c>
    </row>
    <row r="5" ht="21.75" customHeight="1" s="161">
      <c r="B5" s="167" t="inlineStr">
        <is>
          <t>Delivery Manager</t>
        </is>
      </c>
      <c r="C5" s="168" t="inlineStr">
        <is>
          <t>Delivery</t>
        </is>
      </c>
      <c r="D5" s="169" t="inlineStr">
        <is>
          <t>Junior</t>
        </is>
      </c>
      <c r="E5" s="170" t="inlineStr">
        <is>
          <t>EO / HEO</t>
        </is>
      </c>
      <c r="F5" s="171" t="n">
        <v>300</v>
      </c>
      <c r="G5" s="172" t="n">
        <v>375</v>
      </c>
      <c r="H5" s="171" t="n">
        <v>425</v>
      </c>
      <c r="I5" s="173" t="inlineStr">
        <is>
          <t>Supports single small team; limited autonomy</t>
        </is>
      </c>
      <c r="J5" s="174" t="inlineStr">
        <is>
          <t>3 — Apply</t>
        </is>
      </c>
    </row>
    <row r="6" ht="21.75" customHeight="1" s="161">
      <c r="B6" s="167" t="inlineStr">
        <is>
          <t>Delivery Manager</t>
        </is>
      </c>
      <c r="C6" s="168" t="inlineStr">
        <is>
          <t>Delivery</t>
        </is>
      </c>
      <c r="D6" s="175" t="inlineStr">
        <is>
          <t>Mid</t>
        </is>
      </c>
      <c r="E6" s="170" t="inlineStr">
        <is>
          <t>SEO</t>
        </is>
      </c>
      <c r="F6" s="171" t="n">
        <v>375</v>
      </c>
      <c r="G6" s="172" t="n">
        <v>450</v>
      </c>
      <c r="H6" s="171" t="n">
        <v>525</v>
      </c>
      <c r="I6" s="173" t="inlineStr">
        <is>
          <t>Manages single team end-to-end; some stakeholder exposure</t>
        </is>
      </c>
      <c r="J6" s="176" t="inlineStr">
        <is>
          <t>4 — Enable</t>
        </is>
      </c>
    </row>
    <row r="7" ht="21.75" customHeight="1" s="161">
      <c r="B7" s="167" t="inlineStr">
        <is>
          <t>Delivery Manager</t>
        </is>
      </c>
      <c r="C7" s="168" t="inlineStr">
        <is>
          <t>Delivery</t>
        </is>
      </c>
      <c r="D7" s="177" t="inlineStr">
        <is>
          <t>Senior</t>
        </is>
      </c>
      <c r="E7" s="170" t="inlineStr">
        <is>
          <t>Grade 7</t>
        </is>
      </c>
      <c r="F7" s="171" t="n">
        <v>475</v>
      </c>
      <c r="G7" s="172" t="n">
        <v>575</v>
      </c>
      <c r="H7" s="171" t="n">
        <v>650</v>
      </c>
      <c r="I7" s="173" t="inlineStr">
        <is>
          <t>Manages complex team or multiple workstreams</t>
        </is>
      </c>
      <c r="J7" s="178" t="inlineStr">
        <is>
          <t>5 — Ensure/Advise</t>
        </is>
      </c>
    </row>
    <row r="8" ht="21.75" customHeight="1" s="161">
      <c r="B8" s="167" t="inlineStr">
        <is>
          <t>Delivery Manager</t>
        </is>
      </c>
      <c r="C8" s="168" t="inlineStr">
        <is>
          <t>Delivery</t>
        </is>
      </c>
      <c r="D8" s="179" t="inlineStr">
        <is>
          <t>Lead</t>
        </is>
      </c>
      <c r="E8" s="170" t="inlineStr">
        <is>
          <t>Grade 6</t>
        </is>
      </c>
      <c r="F8" s="171" t="n">
        <v>575</v>
      </c>
      <c r="G8" s="172" t="n">
        <v>675</v>
      </c>
      <c r="H8" s="171" t="n">
        <v>775</v>
      </c>
      <c r="I8" s="173" t="inlineStr">
        <is>
          <t>Programme-level delivery; senior stakeholder management</t>
        </is>
      </c>
      <c r="J8" s="180" t="inlineStr">
        <is>
          <t>6 — Initiate/Influence</t>
        </is>
      </c>
    </row>
    <row r="9" ht="21.75" customHeight="1" s="161">
      <c r="B9" s="181" t="inlineStr">
        <is>
          <t>Product Manager</t>
        </is>
      </c>
      <c r="C9" s="182" t="inlineStr">
        <is>
          <t>Product</t>
        </is>
      </c>
      <c r="D9" s="183" t="inlineStr">
        <is>
          <t>Junior</t>
        </is>
      </c>
      <c r="E9" s="184" t="inlineStr">
        <is>
          <t>HEO</t>
        </is>
      </c>
      <c r="F9" s="185" t="n">
        <v>325</v>
      </c>
      <c r="G9" s="186" t="n">
        <v>400</v>
      </c>
      <c r="H9" s="185" t="n">
        <v>450</v>
      </c>
      <c r="I9" s="187" t="inlineStr">
        <is>
          <t>Supports senior PM; limited backlog ownership</t>
        </is>
      </c>
      <c r="J9" s="188" t="inlineStr">
        <is>
          <t>3 — Apply</t>
        </is>
      </c>
    </row>
    <row r="10" ht="21.75" customHeight="1" s="161">
      <c r="B10" s="189" t="inlineStr">
        <is>
          <t>Product Manager</t>
        </is>
      </c>
      <c r="C10" s="190" t="inlineStr">
        <is>
          <t>Product</t>
        </is>
      </c>
      <c r="D10" s="191" t="inlineStr">
        <is>
          <t>Mid</t>
        </is>
      </c>
      <c r="E10" s="192" t="inlineStr">
        <is>
          <t>SEO</t>
        </is>
      </c>
      <c r="F10" s="193" t="n">
        <v>400</v>
      </c>
      <c r="G10" s="194" t="n">
        <v>475</v>
      </c>
      <c r="H10" s="193" t="n">
        <v>550</v>
      </c>
      <c r="I10" s="195" t="inlineStr">
        <is>
          <t>Owns product backlog; runs discovery and delivery</t>
        </is>
      </c>
      <c r="J10" s="176" t="inlineStr">
        <is>
          <t>4 — Enable</t>
        </is>
      </c>
    </row>
    <row r="11" ht="21.75" customHeight="1" s="161">
      <c r="B11" s="189" t="inlineStr">
        <is>
          <t>Product Manager</t>
        </is>
      </c>
      <c r="C11" s="190" t="inlineStr">
        <is>
          <t>Product</t>
        </is>
      </c>
      <c r="D11" s="196" t="inlineStr">
        <is>
          <t>Senior</t>
        </is>
      </c>
      <c r="E11" s="192" t="inlineStr">
        <is>
          <t>Grade 7</t>
        </is>
      </c>
      <c r="F11" s="193" t="n">
        <v>500</v>
      </c>
      <c r="G11" s="194" t="n">
        <v>600</v>
      </c>
      <c r="H11" s="193" t="n">
        <v>700</v>
      </c>
      <c r="I11" s="195" t="inlineStr">
        <is>
          <t>Leads product strategy for a service or platform</t>
        </is>
      </c>
      <c r="J11" s="178" t="inlineStr">
        <is>
          <t>5 — Ensure/Advise</t>
        </is>
      </c>
    </row>
    <row r="12" ht="21.75" customHeight="1" s="161">
      <c r="B12" s="189" t="inlineStr">
        <is>
          <t>Product Manager</t>
        </is>
      </c>
      <c r="C12" s="190" t="inlineStr">
        <is>
          <t>Product</t>
        </is>
      </c>
      <c r="D12" s="197" t="inlineStr">
        <is>
          <t>Lead</t>
        </is>
      </c>
      <c r="E12" s="192" t="inlineStr">
        <is>
          <t>Grade 6</t>
        </is>
      </c>
      <c r="F12" s="193" t="n">
        <v>600</v>
      </c>
      <c r="G12" s="194" t="n">
        <v>700</v>
      </c>
      <c r="H12" s="193" t="n">
        <v>800</v>
      </c>
      <c r="I12" s="195" t="inlineStr">
        <is>
          <t>Cross-programme product leadership; vision setting</t>
        </is>
      </c>
      <c r="J12" s="180" t="inlineStr">
        <is>
          <t>6 — Initiate/Influence</t>
        </is>
      </c>
    </row>
    <row r="13" ht="21.75" customHeight="1" s="161">
      <c r="B13" s="198" t="inlineStr">
        <is>
          <t>User Researcher</t>
        </is>
      </c>
      <c r="C13" s="199" t="inlineStr">
        <is>
          <t>Design</t>
        </is>
      </c>
      <c r="D13" s="200" t="inlineStr">
        <is>
          <t>Junior</t>
        </is>
      </c>
      <c r="E13" s="201" t="inlineStr">
        <is>
          <t>HEO</t>
        </is>
      </c>
      <c r="F13" s="202" t="n">
        <v>300</v>
      </c>
      <c r="G13" s="203" t="n">
        <v>375</v>
      </c>
      <c r="H13" s="202" t="n">
        <v>425</v>
      </c>
      <c r="I13" s="204" t="inlineStr">
        <is>
          <t>Supports research activities under supervision</t>
        </is>
      </c>
      <c r="J13" s="188" t="inlineStr">
        <is>
          <t>3 — Apply</t>
        </is>
      </c>
    </row>
    <row r="14" ht="21.75" customHeight="1" s="161">
      <c r="B14" s="205" t="inlineStr">
        <is>
          <t>User Researcher</t>
        </is>
      </c>
      <c r="C14" s="206" t="inlineStr">
        <is>
          <t>Design</t>
        </is>
      </c>
      <c r="D14" s="207" t="inlineStr">
        <is>
          <t>Mid</t>
        </is>
      </c>
      <c r="E14" s="208" t="inlineStr">
        <is>
          <t>SEO</t>
        </is>
      </c>
      <c r="F14" s="209" t="n">
        <v>375</v>
      </c>
      <c r="G14" s="210" t="n">
        <v>450</v>
      </c>
      <c r="H14" s="209" t="n">
        <v>525</v>
      </c>
      <c r="I14" s="211" t="inlineStr">
        <is>
          <t>Plans and conducts independent research; analysis and synthesis</t>
        </is>
      </c>
      <c r="J14" s="176" t="inlineStr">
        <is>
          <t>4 — Enable</t>
        </is>
      </c>
    </row>
    <row r="15" ht="21.75" customHeight="1" s="161">
      <c r="B15" s="205" t="inlineStr">
        <is>
          <t>User Researcher</t>
        </is>
      </c>
      <c r="C15" s="206" t="inlineStr">
        <is>
          <t>Design</t>
        </is>
      </c>
      <c r="D15" s="212" t="inlineStr">
        <is>
          <t>Senior</t>
        </is>
      </c>
      <c r="E15" s="208" t="inlineStr">
        <is>
          <t>Grade 7</t>
        </is>
      </c>
      <c r="F15" s="209" t="n">
        <v>475</v>
      </c>
      <c r="G15" s="210" t="n">
        <v>550</v>
      </c>
      <c r="H15" s="209" t="n">
        <v>650</v>
      </c>
      <c r="I15" s="211" t="inlineStr">
        <is>
          <t>Leads research strategy; mentors junior researchers</t>
        </is>
      </c>
      <c r="J15" s="178" t="inlineStr">
        <is>
          <t>5 — Ensure/Advise</t>
        </is>
      </c>
    </row>
    <row r="16" ht="21.75" customHeight="1" s="161">
      <c r="B16" s="205" t="inlineStr">
        <is>
          <t>UX / Interaction Designer</t>
        </is>
      </c>
      <c r="C16" s="206" t="inlineStr">
        <is>
          <t>Design</t>
        </is>
      </c>
      <c r="D16" s="213" t="inlineStr">
        <is>
          <t>Junior</t>
        </is>
      </c>
      <c r="E16" s="208" t="inlineStr">
        <is>
          <t>HEO</t>
        </is>
      </c>
      <c r="F16" s="209" t="n">
        <v>300</v>
      </c>
      <c r="G16" s="210" t="n">
        <v>375</v>
      </c>
      <c r="H16" s="209" t="n">
        <v>425</v>
      </c>
      <c r="I16" s="211" t="inlineStr">
        <is>
          <t>Produces wireframes and prototypes under guidance</t>
        </is>
      </c>
      <c r="J16" s="174" t="inlineStr">
        <is>
          <t>3 — Apply</t>
        </is>
      </c>
    </row>
    <row r="17" ht="21.75" customHeight="1" s="161">
      <c r="B17" s="205" t="inlineStr">
        <is>
          <t>UX / Interaction Designer</t>
        </is>
      </c>
      <c r="C17" s="206" t="inlineStr">
        <is>
          <t>Design</t>
        </is>
      </c>
      <c r="D17" s="207" t="inlineStr">
        <is>
          <t>Mid</t>
        </is>
      </c>
      <c r="E17" s="208" t="inlineStr">
        <is>
          <t>SEO</t>
        </is>
      </c>
      <c r="F17" s="209" t="n">
        <v>375</v>
      </c>
      <c r="G17" s="210" t="n">
        <v>450</v>
      </c>
      <c r="H17" s="209" t="n">
        <v>525</v>
      </c>
      <c r="I17" s="211" t="inlineStr">
        <is>
          <t>Owns design for a service; conducts usability testing</t>
        </is>
      </c>
      <c r="J17" s="176" t="inlineStr">
        <is>
          <t>4 — Enable</t>
        </is>
      </c>
    </row>
    <row r="18" ht="21.75" customHeight="1" s="161">
      <c r="B18" s="205" t="inlineStr">
        <is>
          <t>UX / Interaction Designer</t>
        </is>
      </c>
      <c r="C18" s="206" t="inlineStr">
        <is>
          <t>Design</t>
        </is>
      </c>
      <c r="D18" s="212" t="inlineStr">
        <is>
          <t>Senior</t>
        </is>
      </c>
      <c r="E18" s="208" t="inlineStr">
        <is>
          <t>Grade 7</t>
        </is>
      </c>
      <c r="F18" s="209" t="n">
        <v>475</v>
      </c>
      <c r="G18" s="210" t="n">
        <v>575</v>
      </c>
      <c r="H18" s="209" t="n">
        <v>650</v>
      </c>
      <c r="I18" s="211" t="inlineStr">
        <is>
          <t>Leads design across multiple services; sets standards</t>
        </is>
      </c>
      <c r="J18" s="178" t="inlineStr">
        <is>
          <t>5 — Ensure/Advise</t>
        </is>
      </c>
    </row>
    <row r="19" ht="21.75" customHeight="1" s="161">
      <c r="B19" s="205" t="inlineStr">
        <is>
          <t>UX / Interaction Designer</t>
        </is>
      </c>
      <c r="C19" s="206" t="inlineStr">
        <is>
          <t>Design</t>
        </is>
      </c>
      <c r="D19" s="214" t="inlineStr">
        <is>
          <t>Lead</t>
        </is>
      </c>
      <c r="E19" s="208" t="inlineStr">
        <is>
          <t>Grade 6</t>
        </is>
      </c>
      <c r="F19" s="209" t="n">
        <v>575</v>
      </c>
      <c r="G19" s="210" t="n">
        <v>675</v>
      </c>
      <c r="H19" s="209" t="n">
        <v>750</v>
      </c>
      <c r="I19" s="211" t="inlineStr">
        <is>
          <t>Design authority; cross-programme design governance</t>
        </is>
      </c>
      <c r="J19" s="180" t="inlineStr">
        <is>
          <t>6 — Initiate/Influence</t>
        </is>
      </c>
    </row>
    <row r="20" ht="21.75" customHeight="1" s="161">
      <c r="B20" s="205" t="inlineStr">
        <is>
          <t>Content Designer</t>
        </is>
      </c>
      <c r="C20" s="206" t="inlineStr">
        <is>
          <t>Design</t>
        </is>
      </c>
      <c r="D20" s="207" t="inlineStr">
        <is>
          <t>Mid</t>
        </is>
      </c>
      <c r="E20" s="208" t="inlineStr">
        <is>
          <t>SEO</t>
        </is>
      </c>
      <c r="F20" s="209" t="n">
        <v>325</v>
      </c>
      <c r="G20" s="210" t="n">
        <v>400</v>
      </c>
      <c r="H20" s="209" t="n">
        <v>475</v>
      </c>
      <c r="I20" s="211" t="inlineStr">
        <is>
          <t>Creates and edits GOV.UK-style content; plain English</t>
        </is>
      </c>
      <c r="J20" s="176" t="inlineStr">
        <is>
          <t>4 — Enable</t>
        </is>
      </c>
    </row>
    <row r="21" ht="21.75" customHeight="1" s="161">
      <c r="B21" s="205" t="inlineStr">
        <is>
          <t>Content Designer</t>
        </is>
      </c>
      <c r="C21" s="206" t="inlineStr">
        <is>
          <t>Design</t>
        </is>
      </c>
      <c r="D21" s="212" t="inlineStr">
        <is>
          <t>Senior</t>
        </is>
      </c>
      <c r="E21" s="208" t="inlineStr">
        <is>
          <t>Grade 7</t>
        </is>
      </c>
      <c r="F21" s="209" t="n">
        <v>425</v>
      </c>
      <c r="G21" s="210" t="n">
        <v>500</v>
      </c>
      <c r="H21" s="209" t="n">
        <v>575</v>
      </c>
      <c r="I21" s="211" t="inlineStr">
        <is>
          <t>Content strategy; manages content across a service</t>
        </is>
      </c>
      <c r="J21" s="178" t="inlineStr">
        <is>
          <t>5 — Ensure/Advise</t>
        </is>
      </c>
    </row>
    <row r="22" ht="21.75" customHeight="1" s="161">
      <c r="B22" s="215" t="inlineStr">
        <is>
          <t>Software Engineer</t>
        </is>
      </c>
      <c r="C22" s="216" t="inlineStr">
        <is>
          <t>Engineering</t>
        </is>
      </c>
      <c r="D22" s="217" t="inlineStr">
        <is>
          <t>Junior</t>
        </is>
      </c>
      <c r="E22" s="218" t="inlineStr">
        <is>
          <t>HEO</t>
        </is>
      </c>
      <c r="F22" s="219" t="n">
        <v>325</v>
      </c>
      <c r="G22" s="220" t="n">
        <v>400</v>
      </c>
      <c r="H22" s="219" t="n">
        <v>475</v>
      </c>
      <c r="I22" s="221" t="inlineStr">
        <is>
          <t>Contributes to codebase under guidance; unit testing</t>
        </is>
      </c>
      <c r="J22" s="188" t="inlineStr">
        <is>
          <t>3 — Apply</t>
        </is>
      </c>
    </row>
    <row r="23" ht="21.75" customHeight="1" s="161">
      <c r="B23" s="222" t="inlineStr">
        <is>
          <t>Software Engineer</t>
        </is>
      </c>
      <c r="C23" s="223" t="inlineStr">
        <is>
          <t>Engineering</t>
        </is>
      </c>
      <c r="D23" s="224" t="inlineStr">
        <is>
          <t>Mid</t>
        </is>
      </c>
      <c r="E23" s="225" t="inlineStr">
        <is>
          <t>SEO</t>
        </is>
      </c>
      <c r="F23" s="226" t="n">
        <v>425</v>
      </c>
      <c r="G23" s="227" t="n">
        <v>525</v>
      </c>
      <c r="H23" s="226" t="n">
        <v>625</v>
      </c>
      <c r="I23" s="228" t="inlineStr">
        <is>
          <t>Full-stack or specialist; delivers features independently</t>
        </is>
      </c>
      <c r="J23" s="176" t="inlineStr">
        <is>
          <t>4 — Enable</t>
        </is>
      </c>
    </row>
    <row r="24" ht="21.75" customHeight="1" s="161">
      <c r="B24" s="222" t="inlineStr">
        <is>
          <t>Software Engineer</t>
        </is>
      </c>
      <c r="C24" s="223" t="inlineStr">
        <is>
          <t>Engineering</t>
        </is>
      </c>
      <c r="D24" s="229" t="inlineStr">
        <is>
          <t>Senior</t>
        </is>
      </c>
      <c r="E24" s="225" t="inlineStr">
        <is>
          <t>Grade 7</t>
        </is>
      </c>
      <c r="F24" s="226" t="n">
        <v>550</v>
      </c>
      <c r="G24" s="227" t="n">
        <v>650</v>
      </c>
      <c r="H24" s="226" t="n">
        <v>775</v>
      </c>
      <c r="I24" s="228" t="inlineStr">
        <is>
          <t>Technical ownership of components; code review; mentoring</t>
        </is>
      </c>
      <c r="J24" s="178" t="inlineStr">
        <is>
          <t>5 — Ensure/Advise</t>
        </is>
      </c>
    </row>
    <row r="25" ht="21.75" customHeight="1" s="161">
      <c r="B25" s="222" t="inlineStr">
        <is>
          <t>Software Engineer</t>
        </is>
      </c>
      <c r="C25" s="223" t="inlineStr">
        <is>
          <t>Engineering</t>
        </is>
      </c>
      <c r="D25" s="230" t="inlineStr">
        <is>
          <t>Lead</t>
        </is>
      </c>
      <c r="E25" s="225" t="inlineStr">
        <is>
          <t>Grade 6</t>
        </is>
      </c>
      <c r="F25" s="226" t="n">
        <v>650</v>
      </c>
      <c r="G25" s="227" t="n">
        <v>775</v>
      </c>
      <c r="H25" s="226" t="n">
        <v>900</v>
      </c>
      <c r="I25" s="228" t="inlineStr">
        <is>
          <t>Engineering lead for a team or service; technical decisions</t>
        </is>
      </c>
      <c r="J25" s="180" t="inlineStr">
        <is>
          <t>6 — Initiate/Influence</t>
        </is>
      </c>
    </row>
    <row r="26" ht="21.75" customHeight="1" s="161">
      <c r="B26" s="222" t="inlineStr">
        <is>
          <t>DevOps / Platform Engineer</t>
        </is>
      </c>
      <c r="C26" s="223" t="inlineStr">
        <is>
          <t>Engineering</t>
        </is>
      </c>
      <c r="D26" s="224" t="inlineStr">
        <is>
          <t>Mid</t>
        </is>
      </c>
      <c r="E26" s="225" t="inlineStr">
        <is>
          <t>SEO</t>
        </is>
      </c>
      <c r="F26" s="226" t="n">
        <v>450</v>
      </c>
      <c r="G26" s="227" t="n">
        <v>550</v>
      </c>
      <c r="H26" s="226" t="n">
        <v>650</v>
      </c>
      <c r="I26" s="228" t="inlineStr">
        <is>
          <t>CI/CD pipelines; cloud infra (Azure/AWS/GCP); IaC</t>
        </is>
      </c>
      <c r="J26" s="176" t="inlineStr">
        <is>
          <t>4 — Enable</t>
        </is>
      </c>
    </row>
    <row r="27" ht="21.75" customHeight="1" s="161">
      <c r="B27" s="222" t="inlineStr">
        <is>
          <t>DevOps / Platform Engineer</t>
        </is>
      </c>
      <c r="C27" s="223" t="inlineStr">
        <is>
          <t>Engineering</t>
        </is>
      </c>
      <c r="D27" s="229" t="inlineStr">
        <is>
          <t>Senior</t>
        </is>
      </c>
      <c r="E27" s="225" t="inlineStr">
        <is>
          <t>Grade 7</t>
        </is>
      </c>
      <c r="F27" s="226" t="n">
        <v>575</v>
      </c>
      <c r="G27" s="227" t="n">
        <v>700</v>
      </c>
      <c r="H27" s="226" t="n">
        <v>825</v>
      </c>
      <c r="I27" s="228" t="inlineStr">
        <is>
          <t>Platform ownership; SRE practices; incident management</t>
        </is>
      </c>
      <c r="J27" s="178" t="inlineStr">
        <is>
          <t>5 — Ensure/Advise</t>
        </is>
      </c>
    </row>
    <row r="28" ht="21.75" customHeight="1" s="161">
      <c r="B28" s="222" t="inlineStr">
        <is>
          <t>DevOps / Platform Engineer</t>
        </is>
      </c>
      <c r="C28" s="223" t="inlineStr">
        <is>
          <t>Engineering</t>
        </is>
      </c>
      <c r="D28" s="230" t="inlineStr">
        <is>
          <t>Lead</t>
        </is>
      </c>
      <c r="E28" s="225" t="inlineStr">
        <is>
          <t>Grade 6</t>
        </is>
      </c>
      <c r="F28" s="226" t="n">
        <v>700</v>
      </c>
      <c r="G28" s="227" t="n">
        <v>825</v>
      </c>
      <c r="H28" s="226" t="n">
        <v>950</v>
      </c>
      <c r="I28" s="228" t="inlineStr">
        <is>
          <t>Platform strategy; engineering standards; FinOps</t>
        </is>
      </c>
      <c r="J28" s="180" t="inlineStr">
        <is>
          <t>6 — Initiate/Influence</t>
        </is>
      </c>
    </row>
    <row r="29" ht="21.75" customHeight="1" s="161">
      <c r="B29" s="231" t="inlineStr">
        <is>
          <t>Data Engineer</t>
        </is>
      </c>
      <c r="C29" s="232" t="inlineStr">
        <is>
          <t>Data</t>
        </is>
      </c>
      <c r="D29" s="233" t="inlineStr">
        <is>
          <t>Mid</t>
        </is>
      </c>
      <c r="E29" s="234" t="inlineStr">
        <is>
          <t>SEO</t>
        </is>
      </c>
      <c r="F29" s="235" t="n">
        <v>425</v>
      </c>
      <c r="G29" s="236" t="n">
        <v>525</v>
      </c>
      <c r="H29" s="235" t="n">
        <v>625</v>
      </c>
      <c r="I29" s="237" t="inlineStr">
        <is>
          <t>Builds and maintains data pipelines; ETL/ELT</t>
        </is>
      </c>
      <c r="J29" s="238" t="inlineStr">
        <is>
          <t>4 — Enable</t>
        </is>
      </c>
    </row>
    <row r="30" ht="21.75" customHeight="1" s="161">
      <c r="B30" s="239" t="inlineStr">
        <is>
          <t>Data Engineer</t>
        </is>
      </c>
      <c r="C30" s="240" t="inlineStr">
        <is>
          <t>Data</t>
        </is>
      </c>
      <c r="D30" s="241" t="inlineStr">
        <is>
          <t>Senior</t>
        </is>
      </c>
      <c r="E30" s="242" t="inlineStr">
        <is>
          <t>Grade 7</t>
        </is>
      </c>
      <c r="F30" s="243" t="n">
        <v>550</v>
      </c>
      <c r="G30" s="244" t="n">
        <v>650</v>
      </c>
      <c r="H30" s="243" t="n">
        <v>775</v>
      </c>
      <c r="I30" s="245" t="inlineStr">
        <is>
          <t>Architects data solutions; data modelling; governance</t>
        </is>
      </c>
      <c r="J30" s="178" t="inlineStr">
        <is>
          <t>5 — Ensure/Advise</t>
        </is>
      </c>
    </row>
    <row r="31" ht="21.75" customHeight="1" s="161">
      <c r="B31" s="239" t="inlineStr">
        <is>
          <t>Data Engineer</t>
        </is>
      </c>
      <c r="C31" s="240" t="inlineStr">
        <is>
          <t>Data</t>
        </is>
      </c>
      <c r="D31" s="246" t="inlineStr">
        <is>
          <t>Lead</t>
        </is>
      </c>
      <c r="E31" s="242" t="inlineStr">
        <is>
          <t>Grade 6</t>
        </is>
      </c>
      <c r="F31" s="243" t="n">
        <v>650</v>
      </c>
      <c r="G31" s="244" t="n">
        <v>775</v>
      </c>
      <c r="H31" s="243" t="n">
        <v>900</v>
      </c>
      <c r="I31" s="245" t="inlineStr">
        <is>
          <t>Data platform lead; defines engineering standards</t>
        </is>
      </c>
      <c r="J31" s="180" t="inlineStr">
        <is>
          <t>6 — Initiate/Influence</t>
        </is>
      </c>
    </row>
    <row r="32" ht="21.75" customHeight="1" s="161">
      <c r="B32" s="239" t="inlineStr">
        <is>
          <t>Data Scientist</t>
        </is>
      </c>
      <c r="C32" s="240" t="inlineStr">
        <is>
          <t>Data</t>
        </is>
      </c>
      <c r="D32" s="247" t="inlineStr">
        <is>
          <t>Mid</t>
        </is>
      </c>
      <c r="E32" s="242" t="inlineStr">
        <is>
          <t>SEO</t>
        </is>
      </c>
      <c r="F32" s="243" t="n">
        <v>450</v>
      </c>
      <c r="G32" s="244" t="n">
        <v>550</v>
      </c>
      <c r="H32" s="243" t="n">
        <v>650</v>
      </c>
      <c r="I32" s="245" t="inlineStr">
        <is>
          <t>Builds and evaluates ML models; statistical analysis</t>
        </is>
      </c>
      <c r="J32" s="176" t="inlineStr">
        <is>
          <t>4 — Enable</t>
        </is>
      </c>
    </row>
    <row r="33" ht="21.75" customHeight="1" s="161">
      <c r="B33" s="239" t="inlineStr">
        <is>
          <t>Data Scientist</t>
        </is>
      </c>
      <c r="C33" s="240" t="inlineStr">
        <is>
          <t>Data</t>
        </is>
      </c>
      <c r="D33" s="241" t="inlineStr">
        <is>
          <t>Senior</t>
        </is>
      </c>
      <c r="E33" s="242" t="inlineStr">
        <is>
          <t>Grade 7</t>
        </is>
      </c>
      <c r="F33" s="243" t="n">
        <v>575</v>
      </c>
      <c r="G33" s="244" t="n">
        <v>700</v>
      </c>
      <c r="H33" s="243" t="n">
        <v>825</v>
      </c>
      <c r="I33" s="245" t="inlineStr">
        <is>
          <t>Model strategy; MLOps; stakeholder translation</t>
        </is>
      </c>
      <c r="J33" s="178" t="inlineStr">
        <is>
          <t>5 — Ensure/Advise</t>
        </is>
      </c>
    </row>
    <row r="34" ht="21.75" customHeight="1" s="161">
      <c r="B34" s="239" t="inlineStr">
        <is>
          <t>Data Scientist</t>
        </is>
      </c>
      <c r="C34" s="240" t="inlineStr">
        <is>
          <t>Data</t>
        </is>
      </c>
      <c r="D34" s="246" t="inlineStr">
        <is>
          <t>Lead</t>
        </is>
      </c>
      <c r="E34" s="242" t="inlineStr">
        <is>
          <t>Grade 6</t>
        </is>
      </c>
      <c r="F34" s="243" t="n">
        <v>700</v>
      </c>
      <c r="G34" s="244" t="n">
        <v>825</v>
      </c>
      <c r="H34" s="243" t="n">
        <v>950</v>
      </c>
      <c r="I34" s="245" t="inlineStr">
        <is>
          <t>AI/ML programme lead; ethics and governance</t>
        </is>
      </c>
      <c r="J34" s="180" t="inlineStr">
        <is>
          <t>6 — Initiate/Influence</t>
        </is>
      </c>
    </row>
    <row r="35" ht="21.75" customHeight="1" s="161">
      <c r="B35" s="239" t="inlineStr">
        <is>
          <t>BI / Data Analyst</t>
        </is>
      </c>
      <c r="C35" s="240" t="inlineStr">
        <is>
          <t>Data</t>
        </is>
      </c>
      <c r="D35" s="248" t="inlineStr">
        <is>
          <t>Junior</t>
        </is>
      </c>
      <c r="E35" s="242" t="inlineStr">
        <is>
          <t>HEO</t>
        </is>
      </c>
      <c r="F35" s="243" t="n">
        <v>275</v>
      </c>
      <c r="G35" s="244" t="n">
        <v>350</v>
      </c>
      <c r="H35" s="243" t="n">
        <v>425</v>
      </c>
      <c r="I35" s="245" t="inlineStr">
        <is>
          <t>Produces reports and dashboards; SQL and Excel</t>
        </is>
      </c>
      <c r="J35" s="249" t="inlineStr">
        <is>
          <t>2 — Assist</t>
        </is>
      </c>
    </row>
    <row r="36" ht="21.75" customHeight="1" s="161">
      <c r="B36" s="239" t="inlineStr">
        <is>
          <t>BI / Data Analyst</t>
        </is>
      </c>
      <c r="C36" s="240" t="inlineStr">
        <is>
          <t>Data</t>
        </is>
      </c>
      <c r="D36" s="247" t="inlineStr">
        <is>
          <t>Mid</t>
        </is>
      </c>
      <c r="E36" s="242" t="inlineStr">
        <is>
          <t>SEO</t>
        </is>
      </c>
      <c r="F36" s="243" t="n">
        <v>350</v>
      </c>
      <c r="G36" s="244" t="n">
        <v>425</v>
      </c>
      <c r="H36" s="243" t="n">
        <v>525</v>
      </c>
      <c r="I36" s="245" t="inlineStr">
        <is>
          <t>Owns analytical products; self-service BI (Power BI/Tableau)</t>
        </is>
      </c>
      <c r="J36" s="174" t="inlineStr">
        <is>
          <t>3 — Apply</t>
        </is>
      </c>
    </row>
    <row r="37" ht="21.75" customHeight="1" s="161">
      <c r="B37" s="239" t="inlineStr">
        <is>
          <t>BI / Data Analyst</t>
        </is>
      </c>
      <c r="C37" s="240" t="inlineStr">
        <is>
          <t>Data</t>
        </is>
      </c>
      <c r="D37" s="241" t="inlineStr">
        <is>
          <t>Senior</t>
        </is>
      </c>
      <c r="E37" s="242" t="inlineStr">
        <is>
          <t>Grade 7</t>
        </is>
      </c>
      <c r="F37" s="243" t="n">
        <v>450</v>
      </c>
      <c r="G37" s="244" t="n">
        <v>550</v>
      </c>
      <c r="H37" s="243" t="n">
        <v>650</v>
      </c>
      <c r="I37" s="245" t="inlineStr">
        <is>
          <t>Analytics strategy; data storytelling; stakeholder advisory</t>
        </is>
      </c>
      <c r="J37" s="176" t="inlineStr">
        <is>
          <t>4 — Enable</t>
        </is>
      </c>
    </row>
    <row r="38" ht="21.75" customHeight="1" s="161">
      <c r="B38" s="250" t="inlineStr">
        <is>
          <t>Solution Architect</t>
        </is>
      </c>
      <c r="C38" s="251" t="inlineStr">
        <is>
          <t>Architecture</t>
        </is>
      </c>
      <c r="D38" s="252" t="inlineStr">
        <is>
          <t>Mid</t>
        </is>
      </c>
      <c r="E38" s="253" t="inlineStr">
        <is>
          <t>SEO</t>
        </is>
      </c>
      <c r="F38" s="254" t="n">
        <v>500</v>
      </c>
      <c r="G38" s="255" t="n">
        <v>600</v>
      </c>
      <c r="H38" s="254" t="n">
        <v>700</v>
      </c>
      <c r="I38" s="256" t="inlineStr">
        <is>
          <t>Designs technical solutions within enterprise patterns</t>
        </is>
      </c>
      <c r="J38" s="238" t="inlineStr">
        <is>
          <t>4 — Enable</t>
        </is>
      </c>
    </row>
    <row r="39" ht="21.75" customHeight="1" s="161">
      <c r="B39" s="257" t="inlineStr">
        <is>
          <t>Solution Architect</t>
        </is>
      </c>
      <c r="C39" s="258" t="inlineStr">
        <is>
          <t>Architecture</t>
        </is>
      </c>
      <c r="D39" s="259" t="inlineStr">
        <is>
          <t>Senior</t>
        </is>
      </c>
      <c r="E39" s="260" t="inlineStr">
        <is>
          <t>Grade 7</t>
        </is>
      </c>
      <c r="F39" s="261" t="n">
        <v>625</v>
      </c>
      <c r="G39" s="262" t="n">
        <v>750</v>
      </c>
      <c r="H39" s="261" t="n">
        <v>875</v>
      </c>
      <c r="I39" s="263" t="inlineStr">
        <is>
          <t>Leads architecture for a programme; tech assurance</t>
        </is>
      </c>
      <c r="J39" s="178" t="inlineStr">
        <is>
          <t>5 — Ensure/Advise</t>
        </is>
      </c>
    </row>
    <row r="40" ht="21.75" customHeight="1" s="161">
      <c r="B40" s="257" t="inlineStr">
        <is>
          <t>Solution Architect</t>
        </is>
      </c>
      <c r="C40" s="258" t="inlineStr">
        <is>
          <t>Architecture</t>
        </is>
      </c>
      <c r="D40" s="264" t="inlineStr">
        <is>
          <t>Lead</t>
        </is>
      </c>
      <c r="E40" s="260" t="inlineStr">
        <is>
          <t>Grade 6</t>
        </is>
      </c>
      <c r="F40" s="261" t="n">
        <v>750</v>
      </c>
      <c r="G40" s="262" t="n">
        <v>900</v>
      </c>
      <c r="H40" s="261" t="n">
        <v>1050</v>
      </c>
      <c r="I40" s="263" t="inlineStr">
        <is>
          <t>Enterprise-wide architecture; cross-programme assurance</t>
        </is>
      </c>
      <c r="J40" s="180" t="inlineStr">
        <is>
          <t>6 — Initiate/Influence</t>
        </is>
      </c>
    </row>
    <row r="41" ht="21.75" customHeight="1" s="161">
      <c r="B41" s="265" t="inlineStr">
        <is>
          <t>Cyber Security Architect</t>
        </is>
      </c>
      <c r="C41" s="266" t="inlineStr">
        <is>
          <t>Security</t>
        </is>
      </c>
      <c r="D41" s="267" t="inlineStr">
        <is>
          <t>Senior</t>
        </is>
      </c>
      <c r="E41" s="268" t="inlineStr">
        <is>
          <t>Grade 7</t>
        </is>
      </c>
      <c r="F41" s="269" t="n">
        <v>600</v>
      </c>
      <c r="G41" s="270" t="n">
        <v>725</v>
      </c>
      <c r="H41" s="269" t="n">
        <v>875</v>
      </c>
      <c r="I41" s="271" t="inlineStr">
        <is>
          <t>Security design; threat modelling; NCSC alignment</t>
        </is>
      </c>
      <c r="J41" s="272" t="inlineStr">
        <is>
          <t>5 — Ensure/Advise</t>
        </is>
      </c>
    </row>
    <row r="42" ht="21.75" customHeight="1" s="161">
      <c r="B42" s="273" t="inlineStr">
        <is>
          <t>Cyber Security Architect</t>
        </is>
      </c>
      <c r="C42" s="274" t="inlineStr">
        <is>
          <t>Security</t>
        </is>
      </c>
      <c r="D42" s="275" t="inlineStr">
        <is>
          <t>Lead</t>
        </is>
      </c>
      <c r="E42" s="276" t="inlineStr">
        <is>
          <t>Grade 6</t>
        </is>
      </c>
      <c r="F42" s="277" t="n">
        <v>750</v>
      </c>
      <c r="G42" s="278" t="n">
        <v>900</v>
      </c>
      <c r="H42" s="277" t="n">
        <v>1050</v>
      </c>
      <c r="I42" s="279" t="inlineStr">
        <is>
          <t>Security governance across a programme; SIRO advisory</t>
        </is>
      </c>
      <c r="J42" s="180" t="inlineStr">
        <is>
          <t>6 — Initiate/Influence</t>
        </is>
      </c>
    </row>
    <row r="43" ht="21.75" customHeight="1" s="161">
      <c r="B43" s="273" t="inlineStr">
        <is>
          <t>Penetration Tester</t>
        </is>
      </c>
      <c r="C43" s="274" t="inlineStr">
        <is>
          <t>Security</t>
        </is>
      </c>
      <c r="D43" s="280" t="inlineStr">
        <is>
          <t>Mid</t>
        </is>
      </c>
      <c r="E43" s="276" t="inlineStr">
        <is>
          <t>SEO</t>
        </is>
      </c>
      <c r="F43" s="277" t="n">
        <v>475</v>
      </c>
      <c r="G43" s="278" t="n">
        <v>575</v>
      </c>
      <c r="H43" s="277" t="n">
        <v>675</v>
      </c>
      <c r="I43" s="279" t="inlineStr">
        <is>
          <t>Web app and infra pen testing; CREST/CHECK qualified</t>
        </is>
      </c>
      <c r="J43" s="176" t="inlineStr">
        <is>
          <t>4 — Enable</t>
        </is>
      </c>
    </row>
    <row r="44" ht="21.75" customHeight="1" s="161">
      <c r="B44" s="273" t="inlineStr">
        <is>
          <t>Penetration Tester</t>
        </is>
      </c>
      <c r="C44" s="274" t="inlineStr">
        <is>
          <t>Security</t>
        </is>
      </c>
      <c r="D44" s="281" t="inlineStr">
        <is>
          <t>Senior</t>
        </is>
      </c>
      <c r="E44" s="276" t="inlineStr">
        <is>
          <t>Grade 7</t>
        </is>
      </c>
      <c r="F44" s="277" t="n">
        <v>600</v>
      </c>
      <c r="G44" s="278" t="n">
        <v>725</v>
      </c>
      <c r="H44" s="277" t="n">
        <v>850</v>
      </c>
      <c r="I44" s="279" t="inlineStr">
        <is>
          <t>Complex pen test engagements; red team activities</t>
        </is>
      </c>
      <c r="J44" s="178" t="inlineStr">
        <is>
          <t>5 — Ensure/Advise</t>
        </is>
      </c>
    </row>
    <row r="45" ht="21.75" customHeight="1" s="161">
      <c r="B45" s="282" t="inlineStr">
        <is>
          <t>QA / Test Engineer</t>
        </is>
      </c>
      <c r="C45" s="283" t="inlineStr">
        <is>
          <t>QA</t>
        </is>
      </c>
      <c r="D45" s="284" t="inlineStr">
        <is>
          <t>Junior</t>
        </is>
      </c>
      <c r="E45" s="285" t="inlineStr">
        <is>
          <t>HEO</t>
        </is>
      </c>
      <c r="F45" s="286" t="n">
        <v>275</v>
      </c>
      <c r="G45" s="287" t="n">
        <v>350</v>
      </c>
      <c r="H45" s="286" t="n">
        <v>425</v>
      </c>
      <c r="I45" s="288" t="inlineStr">
        <is>
          <t>Manual and basic automated testing; test case writing</t>
        </is>
      </c>
      <c r="J45" s="289" t="inlineStr">
        <is>
          <t>2 — Assist</t>
        </is>
      </c>
    </row>
    <row r="46" ht="21.75" customHeight="1" s="161">
      <c r="B46" s="290" t="inlineStr">
        <is>
          <t>QA / Test Engineer</t>
        </is>
      </c>
      <c r="C46" s="291" t="inlineStr">
        <is>
          <t>QA</t>
        </is>
      </c>
      <c r="D46" s="292" t="inlineStr">
        <is>
          <t>Mid</t>
        </is>
      </c>
      <c r="E46" s="293" t="inlineStr">
        <is>
          <t>SEO</t>
        </is>
      </c>
      <c r="F46" s="294" t="n">
        <v>375</v>
      </c>
      <c r="G46" s="295" t="n">
        <v>450</v>
      </c>
      <c r="H46" s="294" t="n">
        <v>550</v>
      </c>
      <c r="I46" s="296" t="inlineStr">
        <is>
          <t>Automated test frameworks (Selenium/Playwright/Cypress)</t>
        </is>
      </c>
      <c r="J46" s="174" t="inlineStr">
        <is>
          <t>3 — Apply</t>
        </is>
      </c>
    </row>
    <row r="47" ht="21.75" customHeight="1" s="161">
      <c r="B47" s="290" t="inlineStr">
        <is>
          <t>QA / Test Engineer</t>
        </is>
      </c>
      <c r="C47" s="291" t="inlineStr">
        <is>
          <t>QA</t>
        </is>
      </c>
      <c r="D47" s="297" t="inlineStr">
        <is>
          <t>Senior</t>
        </is>
      </c>
      <c r="E47" s="293" t="inlineStr">
        <is>
          <t>Grade 7</t>
        </is>
      </c>
      <c r="F47" s="294" t="n">
        <v>475</v>
      </c>
      <c r="G47" s="295" t="n">
        <v>575</v>
      </c>
      <c r="H47" s="294" t="n">
        <v>675</v>
      </c>
      <c r="I47" s="296" t="inlineStr">
        <is>
          <t>Test strategy; performance and accessibility testing</t>
        </is>
      </c>
      <c r="J47" s="176" t="inlineStr">
        <is>
          <t>4 — Enable</t>
        </is>
      </c>
    </row>
    <row r="48" ht="21.75" customHeight="1" s="161">
      <c r="B48" s="290" t="inlineStr">
        <is>
          <t>QA / Test Engineer</t>
        </is>
      </c>
      <c r="C48" s="291" t="inlineStr">
        <is>
          <t>QA</t>
        </is>
      </c>
      <c r="D48" s="298" t="inlineStr">
        <is>
          <t>Lead</t>
        </is>
      </c>
      <c r="E48" s="293" t="inlineStr">
        <is>
          <t>Grade 6</t>
        </is>
      </c>
      <c r="F48" s="294" t="n">
        <v>575</v>
      </c>
      <c r="G48" s="295" t="n">
        <v>700</v>
      </c>
      <c r="H48" s="294" t="n">
        <v>800</v>
      </c>
      <c r="I48" s="296" t="inlineStr">
        <is>
          <t>Quality assurance across programme; tooling standards</t>
        </is>
      </c>
      <c r="J48" s="178" t="inlineStr">
        <is>
          <t>5 — Ensure/Advise</t>
        </is>
      </c>
    </row>
    <row r="49" ht="21.75" customHeight="1" s="161">
      <c r="B49" s="299" t="inlineStr">
        <is>
          <t>Business Analyst</t>
        </is>
      </c>
      <c r="C49" s="300" t="inlineStr">
        <is>
          <t>Delivery</t>
        </is>
      </c>
      <c r="D49" s="301" t="inlineStr">
        <is>
          <t>Junior</t>
        </is>
      </c>
      <c r="E49" s="302" t="inlineStr">
        <is>
          <t>HEO</t>
        </is>
      </c>
      <c r="F49" s="303" t="n">
        <v>275</v>
      </c>
      <c r="G49" s="304" t="n">
        <v>350</v>
      </c>
      <c r="H49" s="303" t="n">
        <v>425</v>
      </c>
      <c r="I49" s="305" t="inlineStr">
        <is>
          <t>Requirements elicitation; process mapping support</t>
        </is>
      </c>
      <c r="J49" s="188" t="inlineStr">
        <is>
          <t>3 — Apply</t>
        </is>
      </c>
    </row>
    <row r="50" ht="21.75" customHeight="1" s="161">
      <c r="B50" s="167" t="inlineStr">
        <is>
          <t>Business Analyst</t>
        </is>
      </c>
      <c r="C50" s="168" t="inlineStr">
        <is>
          <t>Delivery</t>
        </is>
      </c>
      <c r="D50" s="175" t="inlineStr">
        <is>
          <t>Mid</t>
        </is>
      </c>
      <c r="E50" s="170" t="inlineStr">
        <is>
          <t>SEO</t>
        </is>
      </c>
      <c r="F50" s="171" t="n">
        <v>350</v>
      </c>
      <c r="G50" s="172" t="n">
        <v>425</v>
      </c>
      <c r="H50" s="171" t="n">
        <v>525</v>
      </c>
      <c r="I50" s="173" t="inlineStr">
        <is>
          <t>Owns requirements; facilitates workshops; AS-IS/TO-BE</t>
        </is>
      </c>
      <c r="J50" s="176" t="inlineStr">
        <is>
          <t>4 — Enable</t>
        </is>
      </c>
    </row>
    <row r="51" ht="21.75" customHeight="1" s="161">
      <c r="B51" s="167" t="inlineStr">
        <is>
          <t>Business Analyst</t>
        </is>
      </c>
      <c r="C51" s="168" t="inlineStr">
        <is>
          <t>Delivery</t>
        </is>
      </c>
      <c r="D51" s="177" t="inlineStr">
        <is>
          <t>Senior</t>
        </is>
      </c>
      <c r="E51" s="170" t="inlineStr">
        <is>
          <t>Grade 7</t>
        </is>
      </c>
      <c r="F51" s="171" t="n">
        <v>450</v>
      </c>
      <c r="G51" s="172" t="n">
        <v>550</v>
      </c>
      <c r="H51" s="171" t="n">
        <v>650</v>
      </c>
      <c r="I51" s="173" t="inlineStr">
        <is>
          <t>Complex BA on multi-workstream programmes; stakeholder management</t>
        </is>
      </c>
      <c r="J51" s="178" t="inlineStr">
        <is>
          <t>5 — Ensure/Advise</t>
        </is>
      </c>
    </row>
    <row r="53" ht="18" customHeight="1" s="161">
      <c r="B53" s="306" t="inlineStr">
        <is>
          <t>Notes &amp; assumptions</t>
        </is>
      </c>
    </row>
    <row r="54" ht="19.5" customHeight="1" s="161">
      <c r="B54" s="307" t="inlineStr">
        <is>
          <t>Day rate basis</t>
        </is>
      </c>
      <c r="C54" s="308" t="inlineStr">
        <is>
          <t>Assumes 5-day week, outside IR35 engagement via a framework (e.g. G-Cloud, DOS/DDAT, CCS). Rates are pre-VAT.</t>
        </is>
      </c>
      <c r="D54" s="309" t="n"/>
      <c r="E54" s="309" t="n"/>
      <c r="F54" s="309" t="n"/>
      <c r="G54" s="309" t="n"/>
      <c r="H54" s="309" t="n"/>
      <c r="I54" s="309" t="n"/>
    </row>
    <row r="55" ht="19.5" customHeight="1" s="161">
      <c r="B55" s="307" t="inlineStr">
        <is>
          <t>Low / Mid / High</t>
        </is>
      </c>
      <c r="C55" s="308" t="inlineStr">
        <is>
          <t>Low = entry point for band or lower-complexity role. Mid = typical market rate. High = scarce specialism, London weighting, or urgent requirement.</t>
        </is>
      </c>
      <c r="D55" s="309" t="n"/>
      <c r="E55" s="309" t="n"/>
      <c r="F55" s="309" t="n"/>
      <c r="G55" s="309" t="n"/>
      <c r="H55" s="309" t="n"/>
      <c r="I55" s="309" t="n"/>
    </row>
    <row r="56" ht="19.5" customHeight="1" s="161">
      <c r="B56" s="307" t="inlineStr">
        <is>
          <t>CS grade equivalents</t>
        </is>
      </c>
      <c r="C56" s="308" t="inlineStr">
        <is>
          <t>Indicative only. Contractor roles do not map directly to Civil Service grades. Provided to aid internal budgeting conversations.</t>
        </is>
      </c>
      <c r="D56" s="309" t="n"/>
      <c r="E56" s="309" t="n"/>
      <c r="F56" s="309" t="n"/>
      <c r="G56" s="309" t="n"/>
      <c r="H56" s="309" t="n"/>
      <c r="I56" s="309" t="n"/>
    </row>
    <row r="57" ht="19.5" customHeight="1" s="161">
      <c r="B57" s="307" t="inlineStr">
        <is>
          <t>London weighting</t>
        </is>
      </c>
      <c r="C57" s="308" t="inlineStr">
        <is>
          <t>Add 10–15% to mid rates for roles based in London or requiring regular London presence.</t>
        </is>
      </c>
      <c r="D57" s="309" t="n"/>
      <c r="E57" s="309" t="n"/>
      <c r="F57" s="309" t="n"/>
      <c r="G57" s="309" t="n"/>
      <c r="H57" s="309" t="n"/>
      <c r="I57" s="309" t="n"/>
    </row>
    <row r="58" ht="19.5" customHeight="1" s="161">
      <c r="B58" s="307" t="inlineStr">
        <is>
          <t>Blended team cost</t>
        </is>
      </c>
      <c r="C58" s="308" t="inlineStr">
        <is>
          <t>Use the Cost Modeller sheet to build a team and calculate blended daily and monthly costs.</t>
        </is>
      </c>
      <c r="D58" s="309" t="n"/>
      <c r="E58" s="309" t="n"/>
      <c r="F58" s="309" t="n"/>
      <c r="G58" s="309" t="n"/>
      <c r="H58" s="309" t="n"/>
      <c r="I58" s="309" t="n"/>
    </row>
    <row r="59" ht="19.5" customHeight="1" s="161">
      <c r="B59" s="307" t="inlineStr">
        <is>
          <t>Rate validity</t>
        </is>
      </c>
      <c r="C59" s="308" t="inlineStr">
        <is>
          <t>Benchmarked against CCS DDAT Capability framework, public sector procurement data, and market intelligence Q4 2024 – Q1 2025.</t>
        </is>
      </c>
      <c r="D59" s="309" t="n"/>
      <c r="E59" s="309" t="n"/>
      <c r="F59" s="309" t="n"/>
      <c r="G59" s="309" t="n"/>
      <c r="H59" s="309" t="n"/>
      <c r="I59" s="309" t="n"/>
    </row>
  </sheetData>
  <mergeCells count="10">
    <mergeCell ref="B53:I53"/>
    <mergeCell ref="C56:I56"/>
    <mergeCell ref="B2:I2"/>
    <mergeCell ref="C59:I59"/>
    <mergeCell ref="B3:I3"/>
    <mergeCell ref="C54:I54"/>
    <mergeCell ref="B1:I1"/>
    <mergeCell ref="C57:I57"/>
    <mergeCell ref="C58:I58"/>
    <mergeCell ref="C55:I5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60" min="1" max="1"/>
    <col width="16" customWidth="1" style="160" min="2" max="2"/>
    <col width="12" customWidth="1" style="160" min="3" max="4"/>
    <col width="16" customWidth="1" style="160" min="5" max="5"/>
    <col width="18" customWidth="1" style="160" min="6" max="6"/>
    <col width="22" customWidth="1" style="160" min="7" max="7"/>
  </cols>
  <sheetData>
    <row r="1" ht="36" customHeight="1" s="161">
      <c r="A1" s="162" t="inlineStr">
        <is>
          <t>Digital Team Cost Modeller</t>
        </is>
      </c>
    </row>
    <row r="2" ht="19.5" customHeight="1" s="161">
      <c r="A2" s="163" t="inlineStr">
        <is>
          <t>Enter your team composition below. Day rates pull from the Rate Card sheet. Adjust days/week and duration to model total cost.</t>
        </is>
      </c>
    </row>
    <row r="3" ht="7.5" customHeight="1" s="161">
      <c r="A3" s="164" t="n"/>
    </row>
    <row r="4" ht="39.75" customHeight="1" s="161">
      <c r="A4" s="165" t="inlineStr">
        <is>
          <t>Role</t>
        </is>
      </c>
      <c r="B4" s="165" t="inlineStr">
        <is>
          <t>Seniority band</t>
        </is>
      </c>
      <c r="C4" s="165" t="inlineStr">
        <is>
          <t>Days / week</t>
        </is>
      </c>
      <c r="D4" s="165" t="inlineStr">
        <is>
          <t>Duration
(weeks)</t>
        </is>
      </c>
      <c r="E4" s="165" t="inlineStr">
        <is>
          <t>Day rate (£)
[mid rate]</t>
        </is>
      </c>
      <c r="F4" s="165" t="inlineStr">
        <is>
          <t>Total cost (£)</t>
        </is>
      </c>
      <c r="G4" s="165" t="inlineStr">
        <is>
          <t>Notes</t>
        </is>
      </c>
    </row>
    <row r="5" ht="18" customHeight="1" s="161">
      <c r="A5" s="310" t="inlineStr">
        <is>
          <t>← Enter role name or select from rate card</t>
        </is>
      </c>
      <c r="B5" s="310" t="inlineStr">
        <is>
          <t>← Junior / Mid / Senior / Lead</t>
        </is>
      </c>
      <c r="C5" s="310" t="inlineStr">
        <is>
          <t>← 1–5</t>
        </is>
      </c>
      <c r="D5" s="310" t="inlineStr">
        <is>
          <t>← Number of weeks</t>
        </is>
      </c>
      <c r="E5" s="310" t="inlineStr">
        <is>
          <t>← Enter day rate from Rate Card (col G)</t>
        </is>
      </c>
      <c r="F5" s="310" t="inlineStr">
        <is>
          <t>← Calculated automatically</t>
        </is>
      </c>
      <c r="G5" s="310" t="inlineStr">
        <is>
          <t>← Optional notes</t>
        </is>
      </c>
    </row>
    <row r="6" ht="21.75" customHeight="1" s="161">
      <c r="A6" s="167" t="inlineStr">
        <is>
          <t>Delivery Manager</t>
        </is>
      </c>
      <c r="B6" s="311" t="inlineStr">
        <is>
          <t>Senior</t>
        </is>
      </c>
      <c r="C6" s="312" t="n">
        <v>5</v>
      </c>
      <c r="D6" s="312" t="n">
        <v>26</v>
      </c>
      <c r="E6" s="313" t="n">
        <v>575</v>
      </c>
      <c r="F6" s="172">
        <f>IF(AND(C6&lt;&gt;"",D6&lt;&gt;"",E6&lt;&gt;""),C6*D6*E6,"")</f>
        <v/>
      </c>
      <c r="G6" s="173" t="n"/>
    </row>
    <row r="7" ht="21.75" customHeight="1" s="161">
      <c r="A7" s="314" t="inlineStr">
        <is>
          <t>Senior Software Engineer</t>
        </is>
      </c>
      <c r="B7" s="315" t="inlineStr">
        <is>
          <t>Senior</t>
        </is>
      </c>
      <c r="C7" s="316" t="n">
        <v>5</v>
      </c>
      <c r="D7" s="316" t="n">
        <v>26</v>
      </c>
      <c r="E7" s="317" t="n">
        <v>650</v>
      </c>
      <c r="F7" s="318">
        <f>IF(AND(C7&lt;&gt;"",D7&lt;&gt;"",E7&lt;&gt;""),C7*D7*E7,"")</f>
        <v/>
      </c>
      <c r="G7" s="319" t="n"/>
    </row>
    <row r="8" ht="21.75" customHeight="1" s="161">
      <c r="A8" s="167" t="inlineStr">
        <is>
          <t>Software Engineer</t>
        </is>
      </c>
      <c r="B8" s="311" t="inlineStr">
        <is>
          <t>Mid</t>
        </is>
      </c>
      <c r="C8" s="312" t="n">
        <v>5</v>
      </c>
      <c r="D8" s="312" t="n">
        <v>26</v>
      </c>
      <c r="E8" s="313" t="n">
        <v>525</v>
      </c>
      <c r="F8" s="172">
        <f>IF(AND(C8&lt;&gt;"",D8&lt;&gt;"",E8&lt;&gt;""),C8*D8*E8,"")</f>
        <v/>
      </c>
      <c r="G8" s="173" t="n"/>
    </row>
    <row r="9" ht="21.75" customHeight="1" s="161">
      <c r="A9" s="314" t="inlineStr">
        <is>
          <t>Software Engineer</t>
        </is>
      </c>
      <c r="B9" s="315" t="inlineStr">
        <is>
          <t>Mid</t>
        </is>
      </c>
      <c r="C9" s="316" t="n">
        <v>5</v>
      </c>
      <c r="D9" s="316" t="n">
        <v>26</v>
      </c>
      <c r="E9" s="317" t="n">
        <v>525</v>
      </c>
      <c r="F9" s="318">
        <f>IF(AND(C9&lt;&gt;"",D9&lt;&gt;"",E9&lt;&gt;""),C9*D9*E9,"")</f>
        <v/>
      </c>
      <c r="G9" s="319" t="n"/>
    </row>
    <row r="10" ht="21.75" customHeight="1" s="161">
      <c r="A10" s="167" t="inlineStr">
        <is>
          <t>Senior UX / Interaction Designer</t>
        </is>
      </c>
      <c r="B10" s="311" t="inlineStr">
        <is>
          <t>Senior</t>
        </is>
      </c>
      <c r="C10" s="312" t="n">
        <v>5</v>
      </c>
      <c r="D10" s="312" t="n">
        <v>26</v>
      </c>
      <c r="E10" s="313" t="n">
        <v>575</v>
      </c>
      <c r="F10" s="172">
        <f>IF(AND(C10&lt;&gt;"",D10&lt;&gt;"",E10&lt;&gt;""),C10*D10*E10,"")</f>
        <v/>
      </c>
      <c r="G10" s="173" t="n"/>
    </row>
    <row r="11" ht="21.75" customHeight="1" s="161">
      <c r="A11" s="314" t="inlineStr">
        <is>
          <t>User Researcher</t>
        </is>
      </c>
      <c r="B11" s="315" t="inlineStr">
        <is>
          <t>Senior</t>
        </is>
      </c>
      <c r="C11" s="316" t="n">
        <v>5</v>
      </c>
      <c r="D11" s="316" t="n">
        <v>26</v>
      </c>
      <c r="E11" s="317" t="n">
        <v>550</v>
      </c>
      <c r="F11" s="318">
        <f>IF(AND(C11&lt;&gt;"",D11&lt;&gt;"",E11&lt;&gt;""),C11*D11*E11,"")</f>
        <v/>
      </c>
      <c r="G11" s="319" t="n"/>
    </row>
    <row r="12" ht="21.75" customHeight="1" s="161">
      <c r="A12" s="167" t="inlineStr">
        <is>
          <t>Product Manager</t>
        </is>
      </c>
      <c r="B12" s="311" t="inlineStr">
        <is>
          <t>Senior</t>
        </is>
      </c>
      <c r="C12" s="312" t="n">
        <v>5</v>
      </c>
      <c r="D12" s="312" t="n">
        <v>26</v>
      </c>
      <c r="E12" s="313" t="n">
        <v>600</v>
      </c>
      <c r="F12" s="172">
        <f>IF(AND(C12&lt;&gt;"",D12&lt;&gt;"",E12&lt;&gt;""),C12*D12*E12,"")</f>
        <v/>
      </c>
      <c r="G12" s="173" t="n"/>
    </row>
    <row r="13" ht="21.75" customHeight="1" s="161">
      <c r="A13" s="314" t="inlineStr">
        <is>
          <t>Business Analyst</t>
        </is>
      </c>
      <c r="B13" s="315" t="inlineStr">
        <is>
          <t>Mid</t>
        </is>
      </c>
      <c r="C13" s="316" t="n">
        <v>5</v>
      </c>
      <c r="D13" s="316" t="n">
        <v>26</v>
      </c>
      <c r="E13" s="317" t="n">
        <v>425</v>
      </c>
      <c r="F13" s="318">
        <f>IF(AND(C13&lt;&gt;"",D13&lt;&gt;"",E13&lt;&gt;""),C13*D13*E13,"")</f>
        <v/>
      </c>
      <c r="G13" s="319" t="n"/>
    </row>
    <row r="14" ht="21.75" customHeight="1" s="161">
      <c r="A14" s="167" t="inlineStr">
        <is>
          <t>DevOps / Platform Engineer</t>
        </is>
      </c>
      <c r="B14" s="311" t="inlineStr">
        <is>
          <t>Senior</t>
        </is>
      </c>
      <c r="C14" s="312" t="n">
        <v>5</v>
      </c>
      <c r="D14" s="312" t="n">
        <v>26</v>
      </c>
      <c r="E14" s="313" t="n">
        <v>700</v>
      </c>
      <c r="F14" s="172">
        <f>IF(AND(C14&lt;&gt;"",D14&lt;&gt;"",E14&lt;&gt;""),C14*D14*E14,"")</f>
        <v/>
      </c>
      <c r="G14" s="173" t="n"/>
    </row>
    <row r="15" ht="21.75" customHeight="1" s="161">
      <c r="A15" s="314" t="inlineStr">
        <is>
          <t>QA / Test Engineer</t>
        </is>
      </c>
      <c r="B15" s="315" t="inlineStr">
        <is>
          <t>Mid</t>
        </is>
      </c>
      <c r="C15" s="316" t="n">
        <v>5</v>
      </c>
      <c r="D15" s="316" t="n">
        <v>26</v>
      </c>
      <c r="E15" s="317" t="n">
        <v>450</v>
      </c>
      <c r="F15" s="318">
        <f>IF(AND(C15&lt;&gt;"",D15&lt;&gt;"",E15&lt;&gt;""),C15*D15*E15,"")</f>
        <v/>
      </c>
      <c r="G15" s="319" t="n"/>
    </row>
    <row r="16" ht="21.75" customHeight="1" s="161">
      <c r="A16" s="320" t="n"/>
      <c r="B16" s="312" t="n"/>
      <c r="C16" s="312" t="n"/>
      <c r="D16" s="312" t="n"/>
      <c r="E16" s="321" t="n"/>
      <c r="F16" s="172">
        <f>IF(AND(C16&lt;&gt;"",D16&lt;&gt;"",E16&lt;&gt;""),C16*D16*E16,"")</f>
        <v/>
      </c>
      <c r="G16" s="320" t="n"/>
    </row>
    <row r="17" ht="21.75" customHeight="1" s="161">
      <c r="A17" s="322" t="n"/>
      <c r="B17" s="316" t="n"/>
      <c r="C17" s="316" t="n"/>
      <c r="D17" s="316" t="n"/>
      <c r="E17" s="323" t="n"/>
      <c r="F17" s="318">
        <f>IF(AND(C17&lt;&gt;"",D17&lt;&gt;"",E17&lt;&gt;""),C17*D17*E17,"")</f>
        <v/>
      </c>
      <c r="G17" s="322" t="n"/>
    </row>
    <row r="18" ht="21.75" customHeight="1" s="161">
      <c r="A18" s="320" t="n"/>
      <c r="B18" s="312" t="n"/>
      <c r="C18" s="312" t="n"/>
      <c r="D18" s="312" t="n"/>
      <c r="E18" s="321" t="n"/>
      <c r="F18" s="172">
        <f>IF(AND(C18&lt;&gt;"",D18&lt;&gt;"",E18&lt;&gt;""),C18*D18*E18,"")</f>
        <v/>
      </c>
      <c r="G18" s="320" t="n"/>
    </row>
    <row r="19" ht="21.75" customHeight="1" s="161">
      <c r="A19" s="322" t="n"/>
      <c r="B19" s="316" t="n"/>
      <c r="C19" s="316" t="n"/>
      <c r="D19" s="316" t="n"/>
      <c r="E19" s="323" t="n"/>
      <c r="F19" s="318">
        <f>IF(AND(C19&lt;&gt;"",D19&lt;&gt;"",E19&lt;&gt;""),C19*D19*E19,"")</f>
        <v/>
      </c>
      <c r="G19" s="322" t="n"/>
    </row>
    <row r="20" ht="21.75" customHeight="1" s="161">
      <c r="A20" s="320" t="n"/>
      <c r="B20" s="312" t="n"/>
      <c r="C20" s="312" t="n"/>
      <c r="D20" s="312" t="n"/>
      <c r="E20" s="321" t="n"/>
      <c r="F20" s="172">
        <f>IF(AND(C20&lt;&gt;"",D20&lt;&gt;"",E20&lt;&gt;""),C20*D20*E20,"")</f>
        <v/>
      </c>
      <c r="G20" s="320" t="n"/>
    </row>
    <row r="21" ht="21.75" customHeight="1" s="161">
      <c r="A21" s="322" t="n"/>
      <c r="B21" s="316" t="n"/>
      <c r="C21" s="316" t="n"/>
      <c r="D21" s="316" t="n"/>
      <c r="E21" s="323" t="n"/>
      <c r="F21" s="318">
        <f>IF(AND(C21&lt;&gt;"",D21&lt;&gt;"",E21&lt;&gt;""),C21*D21*E21,"")</f>
        <v/>
      </c>
      <c r="G21" s="322" t="n"/>
    </row>
    <row r="22" ht="21.75" customHeight="1" s="161">
      <c r="A22" s="320" t="n"/>
      <c r="B22" s="312" t="n"/>
      <c r="C22" s="312" t="n"/>
      <c r="D22" s="312" t="n"/>
      <c r="E22" s="321" t="n"/>
      <c r="F22" s="172">
        <f>IF(AND(C22&lt;&gt;"",D22&lt;&gt;"",E22&lt;&gt;""),C22*D22*E22,"")</f>
        <v/>
      </c>
      <c r="G22" s="320" t="n"/>
    </row>
    <row r="23" ht="21.75" customHeight="1" s="161">
      <c r="A23" s="322" t="n"/>
      <c r="B23" s="316" t="n"/>
      <c r="C23" s="316" t="n"/>
      <c r="D23" s="316" t="n"/>
      <c r="E23" s="323" t="n"/>
      <c r="F23" s="318">
        <f>IF(AND(C23&lt;&gt;"",D23&lt;&gt;"",E23&lt;&gt;""),C23*D23*E23,"")</f>
        <v/>
      </c>
      <c r="G23" s="322" t="n"/>
    </row>
    <row r="24" ht="21.75" customHeight="1" s="161">
      <c r="A24" s="320" t="n"/>
      <c r="B24" s="312" t="n"/>
      <c r="C24" s="312" t="n"/>
      <c r="D24" s="312" t="n"/>
      <c r="E24" s="321" t="n"/>
      <c r="F24" s="172">
        <f>IF(AND(C24&lt;&gt;"",D24&lt;&gt;"",E24&lt;&gt;""),C24*D24*E24,"")</f>
        <v/>
      </c>
      <c r="G24" s="320" t="n"/>
    </row>
    <row r="25" ht="21.75" customHeight="1" s="161">
      <c r="A25" s="322" t="n"/>
      <c r="B25" s="316" t="n"/>
      <c r="C25" s="316" t="n"/>
      <c r="D25" s="316" t="n"/>
      <c r="E25" s="323" t="n"/>
      <c r="F25" s="318">
        <f>IF(AND(C25&lt;&gt;"",D25&lt;&gt;"",E25&lt;&gt;""),C25*D25*E25,"")</f>
        <v/>
      </c>
      <c r="G25" s="322" t="n"/>
    </row>
    <row r="26" ht="25.5" customHeight="1" s="161">
      <c r="A26" s="324" t="inlineStr">
        <is>
          <t>Total team cost</t>
        </is>
      </c>
      <c r="B26" s="325" t="n"/>
      <c r="C26" s="325" t="n"/>
      <c r="D26" s="325" t="n"/>
      <c r="E26" s="326">
        <f>SUMIF(F6:F25,"&lt;&gt;"&amp;"")</f>
        <v/>
      </c>
      <c r="F26" s="326">
        <f>SUMIF(F6:F25,"&lt;&gt;"&amp;"")</f>
        <v/>
      </c>
      <c r="G26" s="325" t="n"/>
    </row>
    <row r="27" ht="21.75" customHeight="1" s="161">
      <c r="A27" s="327" t="inlineStr">
        <is>
          <t>Blended team day rate</t>
        </is>
      </c>
      <c r="B27" s="328" t="n"/>
      <c r="C27" s="328" t="n"/>
      <c r="D27" s="328" t="n"/>
      <c r="E27" s="329">
        <f>IFERROR(SUMPRODUCT((C6:C25)*(E6:E25)*(D6:D25)&gt;0,(C6:C25)*(E6:E25))/SUMIF(C6:C25,"&gt;0"),"")</f>
        <v/>
      </c>
      <c r="F27" s="329">
        <f>IFERROR(SUMPRODUCT((C6:C25)*(E6:E25)*(D6:D25)&gt;0,(C6:C25)*(E6:E25))/SUMIF(C6:C25,"&gt;0"),"")</f>
        <v/>
      </c>
      <c r="G27" s="328" t="n"/>
    </row>
    <row r="28" ht="21.75" customHeight="1" s="161">
      <c r="A28" s="167" t="inlineStr">
        <is>
          <t>Indicative monthly cost (21 working days)</t>
        </is>
      </c>
      <c r="B28" s="330" t="n"/>
      <c r="C28" s="330" t="n"/>
      <c r="D28" s="330" t="n"/>
      <c r="E28" s="172">
        <f>IFERROR(SUMPRODUCT((C6:C25)*(E6:E25))*21/5,"")</f>
        <v/>
      </c>
      <c r="F28" s="172">
        <f>IFERROR(SUMPRODUCT((C6:C25)*(E6:E25))*21/5,"")</f>
        <v/>
      </c>
      <c r="G28" s="330" t="n"/>
    </row>
  </sheetData>
  <mergeCells count="3">
    <mergeCell ref="A3:G3"/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4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60" min="1" max="1"/>
    <col width="22" customWidth="1" style="160" min="2" max="2"/>
    <col width="16" customWidth="1" style="160" min="3" max="3"/>
    <col width="18" customWidth="1" style="160" min="4" max="4"/>
    <col width="14" customWidth="1" style="160" min="5" max="7"/>
    <col width="18" customWidth="1" style="160" min="8" max="8"/>
    <col width="22" customWidth="1" style="161" min="9" max="9"/>
  </cols>
  <sheetData>
    <row r="1" ht="30" customHeight="1" s="161">
      <c r="A1" s="331" t="inlineStr">
        <is>
          <t>AI Agent Reference — Flat rate lookup table. Use Role + Seniority to return Low/Mid/High day rates.</t>
        </is>
      </c>
    </row>
    <row r="2" ht="36" customHeight="1" s="161">
      <c r="A2" s="165" t="inlineStr">
        <is>
          <t>Role</t>
        </is>
      </c>
      <c r="B2" s="165" t="inlineStr">
        <is>
          <t>Discipline</t>
        </is>
      </c>
      <c r="C2" s="165" t="inlineStr">
        <is>
          <t>Seniority band</t>
        </is>
      </c>
      <c r="D2" s="165" t="inlineStr">
        <is>
          <t>CS grade equiv.</t>
        </is>
      </c>
      <c r="E2" s="165" t="inlineStr">
        <is>
          <t>Day rate low (£)</t>
        </is>
      </c>
      <c r="F2" s="165" t="inlineStr">
        <is>
          <t>Day rate mid (£)</t>
        </is>
      </c>
      <c r="G2" s="165" t="inlineStr">
        <is>
          <t>Day rate high (£)</t>
        </is>
      </c>
      <c r="H2" s="165" t="inlineStr">
        <is>
          <t>Notes</t>
        </is>
      </c>
      <c r="I2" s="166" t="inlineStr">
        <is>
          <t>SFIA level</t>
        </is>
      </c>
    </row>
    <row r="3" ht="19.5" customHeight="1" s="161">
      <c r="A3" s="320" t="inlineStr">
        <is>
          <t>Delivery Manager</t>
        </is>
      </c>
      <c r="B3" s="320" t="inlineStr">
        <is>
          <t>Delivery</t>
        </is>
      </c>
      <c r="C3" s="320" t="inlineStr">
        <is>
          <t>Junior</t>
        </is>
      </c>
      <c r="D3" s="320" t="inlineStr">
        <is>
          <t>EO / HEO</t>
        </is>
      </c>
      <c r="E3" s="321" t="n">
        <v>300</v>
      </c>
      <c r="F3" s="321" t="n">
        <v>375</v>
      </c>
      <c r="G3" s="321" t="n">
        <v>425</v>
      </c>
      <c r="H3" s="320" t="inlineStr">
        <is>
          <t>Supports single small team; limited autonomy</t>
        </is>
      </c>
      <c r="I3" s="174" t="inlineStr">
        <is>
          <t>3 — Apply</t>
        </is>
      </c>
    </row>
    <row r="4" ht="19.5" customHeight="1" s="161">
      <c r="A4" s="322" t="inlineStr">
        <is>
          <t>Delivery Manager</t>
        </is>
      </c>
      <c r="B4" s="322" t="inlineStr">
        <is>
          <t>Delivery</t>
        </is>
      </c>
      <c r="C4" s="322" t="inlineStr">
        <is>
          <t>Mid</t>
        </is>
      </c>
      <c r="D4" s="322" t="inlineStr">
        <is>
          <t>SEO</t>
        </is>
      </c>
      <c r="E4" s="323" t="n">
        <v>375</v>
      </c>
      <c r="F4" s="323" t="n">
        <v>450</v>
      </c>
      <c r="G4" s="323" t="n">
        <v>525</v>
      </c>
      <c r="H4" s="322" t="inlineStr">
        <is>
          <t>Manages single team end-to-end; some stakeholder exposure</t>
        </is>
      </c>
      <c r="I4" s="176" t="inlineStr">
        <is>
          <t>4 — Enable</t>
        </is>
      </c>
    </row>
    <row r="5" ht="19.5" customHeight="1" s="161">
      <c r="A5" s="320" t="inlineStr">
        <is>
          <t>Delivery Manager</t>
        </is>
      </c>
      <c r="B5" s="320" t="inlineStr">
        <is>
          <t>Delivery</t>
        </is>
      </c>
      <c r="C5" s="320" t="inlineStr">
        <is>
          <t>Senior</t>
        </is>
      </c>
      <c r="D5" s="320" t="inlineStr">
        <is>
          <t>Grade 7</t>
        </is>
      </c>
      <c r="E5" s="321" t="n">
        <v>475</v>
      </c>
      <c r="F5" s="321" t="n">
        <v>575</v>
      </c>
      <c r="G5" s="321" t="n">
        <v>650</v>
      </c>
      <c r="H5" s="320" t="inlineStr">
        <is>
          <t>Manages complex team or multiple workstreams</t>
        </is>
      </c>
      <c r="I5" s="178" t="inlineStr">
        <is>
          <t>5 — Ensure/Advise</t>
        </is>
      </c>
    </row>
    <row r="6" ht="19.5" customHeight="1" s="161">
      <c r="A6" s="322" t="inlineStr">
        <is>
          <t>Delivery Manager</t>
        </is>
      </c>
      <c r="B6" s="322" t="inlineStr">
        <is>
          <t>Delivery</t>
        </is>
      </c>
      <c r="C6" s="322" t="inlineStr">
        <is>
          <t>Lead</t>
        </is>
      </c>
      <c r="D6" s="322" t="inlineStr">
        <is>
          <t>Grade 6</t>
        </is>
      </c>
      <c r="E6" s="323" t="n">
        <v>575</v>
      </c>
      <c r="F6" s="323" t="n">
        <v>675</v>
      </c>
      <c r="G6" s="323" t="n">
        <v>775</v>
      </c>
      <c r="H6" s="322" t="inlineStr">
        <is>
          <t>Programme-level delivery; senior stakeholder management</t>
        </is>
      </c>
      <c r="I6" s="180" t="inlineStr">
        <is>
          <t>6 — Initiate/Influence</t>
        </is>
      </c>
    </row>
    <row r="7" ht="19.5" customHeight="1" s="161">
      <c r="A7" s="320" t="inlineStr">
        <is>
          <t>Product Manager</t>
        </is>
      </c>
      <c r="B7" s="320" t="inlineStr">
        <is>
          <t>Product</t>
        </is>
      </c>
      <c r="C7" s="320" t="inlineStr">
        <is>
          <t>Junior</t>
        </is>
      </c>
      <c r="D7" s="320" t="inlineStr">
        <is>
          <t>HEO</t>
        </is>
      </c>
      <c r="E7" s="321" t="n">
        <v>325</v>
      </c>
      <c r="F7" s="321" t="n">
        <v>400</v>
      </c>
      <c r="G7" s="321" t="n">
        <v>450</v>
      </c>
      <c r="H7" s="320" t="inlineStr">
        <is>
          <t>Supports senior PM; limited backlog ownership</t>
        </is>
      </c>
      <c r="I7" s="174" t="inlineStr">
        <is>
          <t>3 — Apply</t>
        </is>
      </c>
    </row>
    <row r="8" ht="19.5" customHeight="1" s="161">
      <c r="A8" s="322" t="inlineStr">
        <is>
          <t>Product Manager</t>
        </is>
      </c>
      <c r="B8" s="322" t="inlineStr">
        <is>
          <t>Product</t>
        </is>
      </c>
      <c r="C8" s="322" t="inlineStr">
        <is>
          <t>Mid</t>
        </is>
      </c>
      <c r="D8" s="322" t="inlineStr">
        <is>
          <t>SEO</t>
        </is>
      </c>
      <c r="E8" s="323" t="n">
        <v>400</v>
      </c>
      <c r="F8" s="323" t="n">
        <v>475</v>
      </c>
      <c r="G8" s="323" t="n">
        <v>550</v>
      </c>
      <c r="H8" s="322" t="inlineStr">
        <is>
          <t>Owns product backlog; runs discovery and delivery</t>
        </is>
      </c>
      <c r="I8" s="176" t="inlineStr">
        <is>
          <t>4 — Enable</t>
        </is>
      </c>
    </row>
    <row r="9" ht="19.5" customHeight="1" s="161">
      <c r="A9" s="320" t="inlineStr">
        <is>
          <t>Product Manager</t>
        </is>
      </c>
      <c r="B9" s="320" t="inlineStr">
        <is>
          <t>Product</t>
        </is>
      </c>
      <c r="C9" s="320" t="inlineStr">
        <is>
          <t>Senior</t>
        </is>
      </c>
      <c r="D9" s="320" t="inlineStr">
        <is>
          <t>Grade 7</t>
        </is>
      </c>
      <c r="E9" s="321" t="n">
        <v>500</v>
      </c>
      <c r="F9" s="321" t="n">
        <v>600</v>
      </c>
      <c r="G9" s="321" t="n">
        <v>700</v>
      </c>
      <c r="H9" s="320" t="inlineStr">
        <is>
          <t>Leads product strategy for a service or platform</t>
        </is>
      </c>
      <c r="I9" s="178" t="inlineStr">
        <is>
          <t>5 — Ensure/Advise</t>
        </is>
      </c>
    </row>
    <row r="10" ht="19.5" customHeight="1" s="161">
      <c r="A10" s="322" t="inlineStr">
        <is>
          <t>Product Manager</t>
        </is>
      </c>
      <c r="B10" s="322" t="inlineStr">
        <is>
          <t>Product</t>
        </is>
      </c>
      <c r="C10" s="322" t="inlineStr">
        <is>
          <t>Lead</t>
        </is>
      </c>
      <c r="D10" s="322" t="inlineStr">
        <is>
          <t>Grade 6</t>
        </is>
      </c>
      <c r="E10" s="323" t="n">
        <v>600</v>
      </c>
      <c r="F10" s="323" t="n">
        <v>700</v>
      </c>
      <c r="G10" s="323" t="n">
        <v>800</v>
      </c>
      <c r="H10" s="322" t="inlineStr">
        <is>
          <t>Cross-programme product leadership; vision setting</t>
        </is>
      </c>
      <c r="I10" s="180" t="inlineStr">
        <is>
          <t>6 — Initiate/Influence</t>
        </is>
      </c>
    </row>
    <row r="11" ht="19.5" customHeight="1" s="161">
      <c r="A11" s="320" t="inlineStr">
        <is>
          <t>User Researcher</t>
        </is>
      </c>
      <c r="B11" s="320" t="inlineStr">
        <is>
          <t>Design</t>
        </is>
      </c>
      <c r="C11" s="320" t="inlineStr">
        <is>
          <t>Junior</t>
        </is>
      </c>
      <c r="D11" s="320" t="inlineStr">
        <is>
          <t>HEO</t>
        </is>
      </c>
      <c r="E11" s="321" t="n">
        <v>300</v>
      </c>
      <c r="F11" s="321" t="n">
        <v>375</v>
      </c>
      <c r="G11" s="321" t="n">
        <v>425</v>
      </c>
      <c r="H11" s="320" t="inlineStr">
        <is>
          <t>Supports research activities under supervision</t>
        </is>
      </c>
      <c r="I11" s="174" t="inlineStr">
        <is>
          <t>3 — Apply</t>
        </is>
      </c>
    </row>
    <row r="12" ht="19.5" customHeight="1" s="161">
      <c r="A12" s="322" t="inlineStr">
        <is>
          <t>User Researcher</t>
        </is>
      </c>
      <c r="B12" s="322" t="inlineStr">
        <is>
          <t>Design</t>
        </is>
      </c>
      <c r="C12" s="322" t="inlineStr">
        <is>
          <t>Mid</t>
        </is>
      </c>
      <c r="D12" s="322" t="inlineStr">
        <is>
          <t>SEO</t>
        </is>
      </c>
      <c r="E12" s="323" t="n">
        <v>375</v>
      </c>
      <c r="F12" s="323" t="n">
        <v>450</v>
      </c>
      <c r="G12" s="323" t="n">
        <v>525</v>
      </c>
      <c r="H12" s="322" t="inlineStr">
        <is>
          <t>Plans and conducts independent research; analysis and synthesis</t>
        </is>
      </c>
      <c r="I12" s="176" t="inlineStr">
        <is>
          <t>4 — Enable</t>
        </is>
      </c>
    </row>
    <row r="13" ht="19.5" customHeight="1" s="161">
      <c r="A13" s="320" t="inlineStr">
        <is>
          <t>User Researcher</t>
        </is>
      </c>
      <c r="B13" s="320" t="inlineStr">
        <is>
          <t>Design</t>
        </is>
      </c>
      <c r="C13" s="320" t="inlineStr">
        <is>
          <t>Senior</t>
        </is>
      </c>
      <c r="D13" s="320" t="inlineStr">
        <is>
          <t>Grade 7</t>
        </is>
      </c>
      <c r="E13" s="321" t="n">
        <v>475</v>
      </c>
      <c r="F13" s="321" t="n">
        <v>550</v>
      </c>
      <c r="G13" s="321" t="n">
        <v>650</v>
      </c>
      <c r="H13" s="320" t="inlineStr">
        <is>
          <t>Leads research strategy; mentors junior researchers</t>
        </is>
      </c>
      <c r="I13" s="178" t="inlineStr">
        <is>
          <t>5 — Ensure/Advise</t>
        </is>
      </c>
    </row>
    <row r="14" ht="19.5" customHeight="1" s="161">
      <c r="A14" s="322" t="inlineStr">
        <is>
          <t>UX / Interaction Designer</t>
        </is>
      </c>
      <c r="B14" s="322" t="inlineStr">
        <is>
          <t>Design</t>
        </is>
      </c>
      <c r="C14" s="322" t="inlineStr">
        <is>
          <t>Junior</t>
        </is>
      </c>
      <c r="D14" s="322" t="inlineStr">
        <is>
          <t>HEO</t>
        </is>
      </c>
      <c r="E14" s="323" t="n">
        <v>300</v>
      </c>
      <c r="F14" s="323" t="n">
        <v>375</v>
      </c>
      <c r="G14" s="323" t="n">
        <v>425</v>
      </c>
      <c r="H14" s="322" t="inlineStr">
        <is>
          <t>Produces wireframes and prototypes under guidance</t>
        </is>
      </c>
      <c r="I14" s="174" t="inlineStr">
        <is>
          <t>3 — Apply</t>
        </is>
      </c>
    </row>
    <row r="15" ht="19.5" customHeight="1" s="161">
      <c r="A15" s="320" t="inlineStr">
        <is>
          <t>UX / Interaction Designer</t>
        </is>
      </c>
      <c r="B15" s="320" t="inlineStr">
        <is>
          <t>Design</t>
        </is>
      </c>
      <c r="C15" s="320" t="inlineStr">
        <is>
          <t>Mid</t>
        </is>
      </c>
      <c r="D15" s="320" t="inlineStr">
        <is>
          <t>SEO</t>
        </is>
      </c>
      <c r="E15" s="321" t="n">
        <v>375</v>
      </c>
      <c r="F15" s="321" t="n">
        <v>450</v>
      </c>
      <c r="G15" s="321" t="n">
        <v>525</v>
      </c>
      <c r="H15" s="320" t="inlineStr">
        <is>
          <t>Owns design for a service; conducts usability testing</t>
        </is>
      </c>
      <c r="I15" s="176" t="inlineStr">
        <is>
          <t>4 — Enable</t>
        </is>
      </c>
    </row>
    <row r="16" ht="19.5" customHeight="1" s="161">
      <c r="A16" s="322" t="inlineStr">
        <is>
          <t>UX / Interaction Designer</t>
        </is>
      </c>
      <c r="B16" s="322" t="inlineStr">
        <is>
          <t>Design</t>
        </is>
      </c>
      <c r="C16" s="322" t="inlineStr">
        <is>
          <t>Senior</t>
        </is>
      </c>
      <c r="D16" s="322" t="inlineStr">
        <is>
          <t>Grade 7</t>
        </is>
      </c>
      <c r="E16" s="323" t="n">
        <v>475</v>
      </c>
      <c r="F16" s="323" t="n">
        <v>575</v>
      </c>
      <c r="G16" s="323" t="n">
        <v>650</v>
      </c>
      <c r="H16" s="322" t="inlineStr">
        <is>
          <t>Leads design across multiple services; sets standards</t>
        </is>
      </c>
      <c r="I16" s="178" t="inlineStr">
        <is>
          <t>5 — Ensure/Advise</t>
        </is>
      </c>
    </row>
    <row r="17" ht="19.5" customHeight="1" s="161">
      <c r="A17" s="320" t="inlineStr">
        <is>
          <t>UX / Interaction Designer</t>
        </is>
      </c>
      <c r="B17" s="320" t="inlineStr">
        <is>
          <t>Design</t>
        </is>
      </c>
      <c r="C17" s="320" t="inlineStr">
        <is>
          <t>Lead</t>
        </is>
      </c>
      <c r="D17" s="320" t="inlineStr">
        <is>
          <t>Grade 6</t>
        </is>
      </c>
      <c r="E17" s="321" t="n">
        <v>575</v>
      </c>
      <c r="F17" s="321" t="n">
        <v>675</v>
      </c>
      <c r="G17" s="321" t="n">
        <v>750</v>
      </c>
      <c r="H17" s="320" t="inlineStr">
        <is>
          <t>Design authority; cross-programme design governance</t>
        </is>
      </c>
      <c r="I17" s="180" t="inlineStr">
        <is>
          <t>6 — Initiate/Influence</t>
        </is>
      </c>
    </row>
    <row r="18" ht="19.5" customHeight="1" s="161">
      <c r="A18" s="322" t="inlineStr">
        <is>
          <t>Content Designer</t>
        </is>
      </c>
      <c r="B18" s="322" t="inlineStr">
        <is>
          <t>Design</t>
        </is>
      </c>
      <c r="C18" s="322" t="inlineStr">
        <is>
          <t>Mid</t>
        </is>
      </c>
      <c r="D18" s="322" t="inlineStr">
        <is>
          <t>SEO</t>
        </is>
      </c>
      <c r="E18" s="323" t="n">
        <v>325</v>
      </c>
      <c r="F18" s="323" t="n">
        <v>400</v>
      </c>
      <c r="G18" s="323" t="n">
        <v>475</v>
      </c>
      <c r="H18" s="322" t="inlineStr">
        <is>
          <t>Creates and edits GOV.UK-style content; plain English</t>
        </is>
      </c>
      <c r="I18" s="176" t="inlineStr">
        <is>
          <t>4 — Enable</t>
        </is>
      </c>
    </row>
    <row r="19" ht="19.5" customHeight="1" s="161">
      <c r="A19" s="320" t="inlineStr">
        <is>
          <t>Content Designer</t>
        </is>
      </c>
      <c r="B19" s="320" t="inlineStr">
        <is>
          <t>Design</t>
        </is>
      </c>
      <c r="C19" s="320" t="inlineStr">
        <is>
          <t>Senior</t>
        </is>
      </c>
      <c r="D19" s="320" t="inlineStr">
        <is>
          <t>Grade 7</t>
        </is>
      </c>
      <c r="E19" s="321" t="n">
        <v>425</v>
      </c>
      <c r="F19" s="321" t="n">
        <v>500</v>
      </c>
      <c r="G19" s="321" t="n">
        <v>575</v>
      </c>
      <c r="H19" s="320" t="inlineStr">
        <is>
          <t>Content strategy; manages content across a service</t>
        </is>
      </c>
      <c r="I19" s="178" t="inlineStr">
        <is>
          <t>5 — Ensure/Advise</t>
        </is>
      </c>
    </row>
    <row r="20" ht="19.5" customHeight="1" s="161">
      <c r="A20" s="322" t="inlineStr">
        <is>
          <t>Software Engineer</t>
        </is>
      </c>
      <c r="B20" s="322" t="inlineStr">
        <is>
          <t>Engineering</t>
        </is>
      </c>
      <c r="C20" s="322" t="inlineStr">
        <is>
          <t>Junior</t>
        </is>
      </c>
      <c r="D20" s="322" t="inlineStr">
        <is>
          <t>HEO</t>
        </is>
      </c>
      <c r="E20" s="323" t="n">
        <v>325</v>
      </c>
      <c r="F20" s="323" t="n">
        <v>400</v>
      </c>
      <c r="G20" s="323" t="n">
        <v>475</v>
      </c>
      <c r="H20" s="322" t="inlineStr">
        <is>
          <t>Contributes to codebase under guidance; unit testing</t>
        </is>
      </c>
      <c r="I20" s="174" t="inlineStr">
        <is>
          <t>3 — Apply</t>
        </is>
      </c>
    </row>
    <row r="21" ht="19.5" customHeight="1" s="161">
      <c r="A21" s="320" t="inlineStr">
        <is>
          <t>Software Engineer</t>
        </is>
      </c>
      <c r="B21" s="320" t="inlineStr">
        <is>
          <t>Engineering</t>
        </is>
      </c>
      <c r="C21" s="320" t="inlineStr">
        <is>
          <t>Mid</t>
        </is>
      </c>
      <c r="D21" s="320" t="inlineStr">
        <is>
          <t>SEO</t>
        </is>
      </c>
      <c r="E21" s="321" t="n">
        <v>425</v>
      </c>
      <c r="F21" s="321" t="n">
        <v>525</v>
      </c>
      <c r="G21" s="321" t="n">
        <v>625</v>
      </c>
      <c r="H21" s="320" t="inlineStr">
        <is>
          <t>Full-stack or specialist; delivers features independently</t>
        </is>
      </c>
      <c r="I21" s="176" t="inlineStr">
        <is>
          <t>4 — Enable</t>
        </is>
      </c>
    </row>
    <row r="22" ht="19.5" customHeight="1" s="161">
      <c r="A22" s="322" t="inlineStr">
        <is>
          <t>Software Engineer</t>
        </is>
      </c>
      <c r="B22" s="322" t="inlineStr">
        <is>
          <t>Engineering</t>
        </is>
      </c>
      <c r="C22" s="322" t="inlineStr">
        <is>
          <t>Senior</t>
        </is>
      </c>
      <c r="D22" s="322" t="inlineStr">
        <is>
          <t>Grade 7</t>
        </is>
      </c>
      <c r="E22" s="323" t="n">
        <v>550</v>
      </c>
      <c r="F22" s="323" t="n">
        <v>650</v>
      </c>
      <c r="G22" s="323" t="n">
        <v>775</v>
      </c>
      <c r="H22" s="322" t="inlineStr">
        <is>
          <t>Technical ownership of components; code review; mentoring</t>
        </is>
      </c>
      <c r="I22" s="178" t="inlineStr">
        <is>
          <t>5 — Ensure/Advise</t>
        </is>
      </c>
    </row>
    <row r="23" ht="19.5" customHeight="1" s="161">
      <c r="A23" s="320" t="inlineStr">
        <is>
          <t>Software Engineer</t>
        </is>
      </c>
      <c r="B23" s="320" t="inlineStr">
        <is>
          <t>Engineering</t>
        </is>
      </c>
      <c r="C23" s="320" t="inlineStr">
        <is>
          <t>Lead</t>
        </is>
      </c>
      <c r="D23" s="320" t="inlineStr">
        <is>
          <t>Grade 6</t>
        </is>
      </c>
      <c r="E23" s="321" t="n">
        <v>650</v>
      </c>
      <c r="F23" s="321" t="n">
        <v>775</v>
      </c>
      <c r="G23" s="321" t="n">
        <v>900</v>
      </c>
      <c r="H23" s="320" t="inlineStr">
        <is>
          <t>Engineering lead for a team or service; technical decisions</t>
        </is>
      </c>
      <c r="I23" s="180" t="inlineStr">
        <is>
          <t>6 — Initiate/Influence</t>
        </is>
      </c>
    </row>
    <row r="24" ht="19.5" customHeight="1" s="161">
      <c r="A24" s="322" t="inlineStr">
        <is>
          <t>DevOps / Platform Engineer</t>
        </is>
      </c>
      <c r="B24" s="322" t="inlineStr">
        <is>
          <t>Engineering</t>
        </is>
      </c>
      <c r="C24" s="322" t="inlineStr">
        <is>
          <t>Mid</t>
        </is>
      </c>
      <c r="D24" s="322" t="inlineStr">
        <is>
          <t>SEO</t>
        </is>
      </c>
      <c r="E24" s="323" t="n">
        <v>450</v>
      </c>
      <c r="F24" s="323" t="n">
        <v>550</v>
      </c>
      <c r="G24" s="323" t="n">
        <v>650</v>
      </c>
      <c r="H24" s="322" t="inlineStr">
        <is>
          <t>CI/CD pipelines; cloud infra (Azure/AWS/GCP); IaC</t>
        </is>
      </c>
      <c r="I24" s="176" t="inlineStr">
        <is>
          <t>4 — Enable</t>
        </is>
      </c>
    </row>
    <row r="25" ht="19.5" customHeight="1" s="161">
      <c r="A25" s="320" t="inlineStr">
        <is>
          <t>DevOps / Platform Engineer</t>
        </is>
      </c>
      <c r="B25" s="320" t="inlineStr">
        <is>
          <t>Engineering</t>
        </is>
      </c>
      <c r="C25" s="320" t="inlineStr">
        <is>
          <t>Senior</t>
        </is>
      </c>
      <c r="D25" s="320" t="inlineStr">
        <is>
          <t>Grade 7</t>
        </is>
      </c>
      <c r="E25" s="321" t="n">
        <v>575</v>
      </c>
      <c r="F25" s="321" t="n">
        <v>700</v>
      </c>
      <c r="G25" s="321" t="n">
        <v>825</v>
      </c>
      <c r="H25" s="320" t="inlineStr">
        <is>
          <t>Platform ownership; SRE practices; incident management</t>
        </is>
      </c>
      <c r="I25" s="178" t="inlineStr">
        <is>
          <t>5 — Ensure/Advise</t>
        </is>
      </c>
    </row>
    <row r="26" ht="19.5" customHeight="1" s="161">
      <c r="A26" s="322" t="inlineStr">
        <is>
          <t>DevOps / Platform Engineer</t>
        </is>
      </c>
      <c r="B26" s="322" t="inlineStr">
        <is>
          <t>Engineering</t>
        </is>
      </c>
      <c r="C26" s="322" t="inlineStr">
        <is>
          <t>Lead</t>
        </is>
      </c>
      <c r="D26" s="322" t="inlineStr">
        <is>
          <t>Grade 6</t>
        </is>
      </c>
      <c r="E26" s="323" t="n">
        <v>700</v>
      </c>
      <c r="F26" s="323" t="n">
        <v>825</v>
      </c>
      <c r="G26" s="323" t="n">
        <v>950</v>
      </c>
      <c r="H26" s="322" t="inlineStr">
        <is>
          <t>Platform strategy; engineering standards; FinOps</t>
        </is>
      </c>
      <c r="I26" s="180" t="inlineStr">
        <is>
          <t>6 — Initiate/Influence</t>
        </is>
      </c>
    </row>
    <row r="27" ht="19.5" customHeight="1" s="161">
      <c r="A27" s="320" t="inlineStr">
        <is>
          <t>Data Engineer</t>
        </is>
      </c>
      <c r="B27" s="320" t="inlineStr">
        <is>
          <t>Data</t>
        </is>
      </c>
      <c r="C27" s="320" t="inlineStr">
        <is>
          <t>Mid</t>
        </is>
      </c>
      <c r="D27" s="320" t="inlineStr">
        <is>
          <t>SEO</t>
        </is>
      </c>
      <c r="E27" s="321" t="n">
        <v>425</v>
      </c>
      <c r="F27" s="321" t="n">
        <v>525</v>
      </c>
      <c r="G27" s="321" t="n">
        <v>625</v>
      </c>
      <c r="H27" s="320" t="inlineStr">
        <is>
          <t>Builds and maintains data pipelines; ETL/ELT</t>
        </is>
      </c>
      <c r="I27" s="176" t="inlineStr">
        <is>
          <t>4 — Enable</t>
        </is>
      </c>
    </row>
    <row r="28" ht="19.5" customHeight="1" s="161">
      <c r="A28" s="322" t="inlineStr">
        <is>
          <t>Data Engineer</t>
        </is>
      </c>
      <c r="B28" s="322" t="inlineStr">
        <is>
          <t>Data</t>
        </is>
      </c>
      <c r="C28" s="322" t="inlineStr">
        <is>
          <t>Senior</t>
        </is>
      </c>
      <c r="D28" s="322" t="inlineStr">
        <is>
          <t>Grade 7</t>
        </is>
      </c>
      <c r="E28" s="323" t="n">
        <v>550</v>
      </c>
      <c r="F28" s="323" t="n">
        <v>650</v>
      </c>
      <c r="G28" s="323" t="n">
        <v>775</v>
      </c>
      <c r="H28" s="322" t="inlineStr">
        <is>
          <t>Architects data solutions; data modelling; governance</t>
        </is>
      </c>
      <c r="I28" s="178" t="inlineStr">
        <is>
          <t>5 — Ensure/Advise</t>
        </is>
      </c>
    </row>
    <row r="29" ht="19.5" customHeight="1" s="161">
      <c r="A29" s="320" t="inlineStr">
        <is>
          <t>Data Engineer</t>
        </is>
      </c>
      <c r="B29" s="320" t="inlineStr">
        <is>
          <t>Data</t>
        </is>
      </c>
      <c r="C29" s="320" t="inlineStr">
        <is>
          <t>Lead</t>
        </is>
      </c>
      <c r="D29" s="320" t="inlineStr">
        <is>
          <t>Grade 6</t>
        </is>
      </c>
      <c r="E29" s="321" t="n">
        <v>650</v>
      </c>
      <c r="F29" s="321" t="n">
        <v>775</v>
      </c>
      <c r="G29" s="321" t="n">
        <v>900</v>
      </c>
      <c r="H29" s="320" t="inlineStr">
        <is>
          <t>Data platform lead; defines engineering standards</t>
        </is>
      </c>
      <c r="I29" s="180" t="inlineStr">
        <is>
          <t>6 — Initiate/Influence</t>
        </is>
      </c>
    </row>
    <row r="30" ht="19.5" customHeight="1" s="161">
      <c r="A30" s="322" t="inlineStr">
        <is>
          <t>Data Scientist</t>
        </is>
      </c>
      <c r="B30" s="322" t="inlineStr">
        <is>
          <t>Data</t>
        </is>
      </c>
      <c r="C30" s="322" t="inlineStr">
        <is>
          <t>Mid</t>
        </is>
      </c>
      <c r="D30" s="322" t="inlineStr">
        <is>
          <t>SEO</t>
        </is>
      </c>
      <c r="E30" s="323" t="n">
        <v>450</v>
      </c>
      <c r="F30" s="323" t="n">
        <v>550</v>
      </c>
      <c r="G30" s="323" t="n">
        <v>650</v>
      </c>
      <c r="H30" s="322" t="inlineStr">
        <is>
          <t>Builds and evaluates ML models; statistical analysis</t>
        </is>
      </c>
      <c r="I30" s="176" t="inlineStr">
        <is>
          <t>4 — Enable</t>
        </is>
      </c>
    </row>
    <row r="31" ht="19.5" customHeight="1" s="161">
      <c r="A31" s="320" t="inlineStr">
        <is>
          <t>Data Scientist</t>
        </is>
      </c>
      <c r="B31" s="320" t="inlineStr">
        <is>
          <t>Data</t>
        </is>
      </c>
      <c r="C31" s="320" t="inlineStr">
        <is>
          <t>Senior</t>
        </is>
      </c>
      <c r="D31" s="320" t="inlineStr">
        <is>
          <t>Grade 7</t>
        </is>
      </c>
      <c r="E31" s="321" t="n">
        <v>575</v>
      </c>
      <c r="F31" s="321" t="n">
        <v>700</v>
      </c>
      <c r="G31" s="321" t="n">
        <v>825</v>
      </c>
      <c r="H31" s="320" t="inlineStr">
        <is>
          <t>Model strategy; MLOps; stakeholder translation</t>
        </is>
      </c>
      <c r="I31" s="178" t="inlineStr">
        <is>
          <t>5 — Ensure/Advise</t>
        </is>
      </c>
    </row>
    <row r="32" ht="19.5" customHeight="1" s="161">
      <c r="A32" s="322" t="inlineStr">
        <is>
          <t>Data Scientist</t>
        </is>
      </c>
      <c r="B32" s="322" t="inlineStr">
        <is>
          <t>Data</t>
        </is>
      </c>
      <c r="C32" s="322" t="inlineStr">
        <is>
          <t>Lead</t>
        </is>
      </c>
      <c r="D32" s="322" t="inlineStr">
        <is>
          <t>Grade 6</t>
        </is>
      </c>
      <c r="E32" s="323" t="n">
        <v>700</v>
      </c>
      <c r="F32" s="323" t="n">
        <v>825</v>
      </c>
      <c r="G32" s="323" t="n">
        <v>950</v>
      </c>
      <c r="H32" s="322" t="inlineStr">
        <is>
          <t>AI/ML programme lead; ethics and governance</t>
        </is>
      </c>
      <c r="I32" s="180" t="inlineStr">
        <is>
          <t>6 — Initiate/Influence</t>
        </is>
      </c>
    </row>
    <row r="33" ht="19.5" customHeight="1" s="161">
      <c r="A33" s="320" t="inlineStr">
        <is>
          <t>BI / Data Analyst</t>
        </is>
      </c>
      <c r="B33" s="320" t="inlineStr">
        <is>
          <t>Data</t>
        </is>
      </c>
      <c r="C33" s="320" t="inlineStr">
        <is>
          <t>Junior</t>
        </is>
      </c>
      <c r="D33" s="320" t="inlineStr">
        <is>
          <t>HEO</t>
        </is>
      </c>
      <c r="E33" s="321" t="n">
        <v>275</v>
      </c>
      <c r="F33" s="321" t="n">
        <v>350</v>
      </c>
      <c r="G33" s="321" t="n">
        <v>425</v>
      </c>
      <c r="H33" s="320" t="inlineStr">
        <is>
          <t>Produces reports and dashboards; SQL and Excel</t>
        </is>
      </c>
      <c r="I33" s="249" t="inlineStr">
        <is>
          <t>2 — Assist</t>
        </is>
      </c>
    </row>
    <row r="34" ht="19.5" customHeight="1" s="161">
      <c r="A34" s="322" t="inlineStr">
        <is>
          <t>BI / Data Analyst</t>
        </is>
      </c>
      <c r="B34" s="322" t="inlineStr">
        <is>
          <t>Data</t>
        </is>
      </c>
      <c r="C34" s="322" t="inlineStr">
        <is>
          <t>Mid</t>
        </is>
      </c>
      <c r="D34" s="322" t="inlineStr">
        <is>
          <t>SEO</t>
        </is>
      </c>
      <c r="E34" s="323" t="n">
        <v>350</v>
      </c>
      <c r="F34" s="323" t="n">
        <v>425</v>
      </c>
      <c r="G34" s="323" t="n">
        <v>525</v>
      </c>
      <c r="H34" s="322" t="inlineStr">
        <is>
          <t>Owns analytical products; self-service BI (Power BI/Tableau)</t>
        </is>
      </c>
      <c r="I34" s="174" t="inlineStr">
        <is>
          <t>3 — Apply</t>
        </is>
      </c>
    </row>
    <row r="35" ht="19.5" customHeight="1" s="161">
      <c r="A35" s="320" t="inlineStr">
        <is>
          <t>BI / Data Analyst</t>
        </is>
      </c>
      <c r="B35" s="320" t="inlineStr">
        <is>
          <t>Data</t>
        </is>
      </c>
      <c r="C35" s="320" t="inlineStr">
        <is>
          <t>Senior</t>
        </is>
      </c>
      <c r="D35" s="320" t="inlineStr">
        <is>
          <t>Grade 7</t>
        </is>
      </c>
      <c r="E35" s="321" t="n">
        <v>450</v>
      </c>
      <c r="F35" s="321" t="n">
        <v>550</v>
      </c>
      <c r="G35" s="321" t="n">
        <v>650</v>
      </c>
      <c r="H35" s="320" t="inlineStr">
        <is>
          <t>Analytics strategy; data storytelling; stakeholder advisory</t>
        </is>
      </c>
      <c r="I35" s="176" t="inlineStr">
        <is>
          <t>4 — Enable</t>
        </is>
      </c>
    </row>
    <row r="36" ht="19.5" customHeight="1" s="161">
      <c r="A36" s="322" t="inlineStr">
        <is>
          <t>Solution Architect</t>
        </is>
      </c>
      <c r="B36" s="322" t="inlineStr">
        <is>
          <t>Architecture</t>
        </is>
      </c>
      <c r="C36" s="322" t="inlineStr">
        <is>
          <t>Mid</t>
        </is>
      </c>
      <c r="D36" s="322" t="inlineStr">
        <is>
          <t>SEO</t>
        </is>
      </c>
      <c r="E36" s="323" t="n">
        <v>500</v>
      </c>
      <c r="F36" s="323" t="n">
        <v>600</v>
      </c>
      <c r="G36" s="323" t="n">
        <v>700</v>
      </c>
      <c r="H36" s="322" t="inlineStr">
        <is>
          <t>Designs technical solutions within enterprise patterns</t>
        </is>
      </c>
      <c r="I36" s="176" t="inlineStr">
        <is>
          <t>4 — Enable</t>
        </is>
      </c>
    </row>
    <row r="37" ht="19.5" customHeight="1" s="161">
      <c r="A37" s="320" t="inlineStr">
        <is>
          <t>Solution Architect</t>
        </is>
      </c>
      <c r="B37" s="320" t="inlineStr">
        <is>
          <t>Architecture</t>
        </is>
      </c>
      <c r="C37" s="320" t="inlineStr">
        <is>
          <t>Senior</t>
        </is>
      </c>
      <c r="D37" s="320" t="inlineStr">
        <is>
          <t>Grade 7</t>
        </is>
      </c>
      <c r="E37" s="321" t="n">
        <v>625</v>
      </c>
      <c r="F37" s="321" t="n">
        <v>750</v>
      </c>
      <c r="G37" s="321" t="n">
        <v>875</v>
      </c>
      <c r="H37" s="320" t="inlineStr">
        <is>
          <t>Leads architecture for a programme; tech assurance</t>
        </is>
      </c>
      <c r="I37" s="178" t="inlineStr">
        <is>
          <t>5 — Ensure/Advise</t>
        </is>
      </c>
    </row>
    <row r="38" ht="19.5" customHeight="1" s="161">
      <c r="A38" s="322" t="inlineStr">
        <is>
          <t>Solution Architect</t>
        </is>
      </c>
      <c r="B38" s="322" t="inlineStr">
        <is>
          <t>Architecture</t>
        </is>
      </c>
      <c r="C38" s="322" t="inlineStr">
        <is>
          <t>Lead</t>
        </is>
      </c>
      <c r="D38" s="322" t="inlineStr">
        <is>
          <t>Grade 6</t>
        </is>
      </c>
      <c r="E38" s="323" t="n">
        <v>750</v>
      </c>
      <c r="F38" s="323" t="n">
        <v>900</v>
      </c>
      <c r="G38" s="323" t="n">
        <v>1050</v>
      </c>
      <c r="H38" s="322" t="inlineStr">
        <is>
          <t>Enterprise-wide architecture; cross-programme assurance</t>
        </is>
      </c>
      <c r="I38" s="180" t="inlineStr">
        <is>
          <t>6 — Initiate/Influence</t>
        </is>
      </c>
    </row>
    <row r="39" ht="19.5" customHeight="1" s="161">
      <c r="A39" s="320" t="inlineStr">
        <is>
          <t>Cyber Security Architect</t>
        </is>
      </c>
      <c r="B39" s="320" t="inlineStr">
        <is>
          <t>Security</t>
        </is>
      </c>
      <c r="C39" s="320" t="inlineStr">
        <is>
          <t>Senior</t>
        </is>
      </c>
      <c r="D39" s="320" t="inlineStr">
        <is>
          <t>Grade 7</t>
        </is>
      </c>
      <c r="E39" s="321" t="n">
        <v>600</v>
      </c>
      <c r="F39" s="321" t="n">
        <v>725</v>
      </c>
      <c r="G39" s="321" t="n">
        <v>875</v>
      </c>
      <c r="H39" s="320" t="inlineStr">
        <is>
          <t>Security design; threat modelling; NCSC alignment</t>
        </is>
      </c>
      <c r="I39" s="178" t="inlineStr">
        <is>
          <t>5 — Ensure/Advise</t>
        </is>
      </c>
    </row>
    <row r="40" ht="19.5" customHeight="1" s="161">
      <c r="A40" s="322" t="inlineStr">
        <is>
          <t>Cyber Security Architect</t>
        </is>
      </c>
      <c r="B40" s="322" t="inlineStr">
        <is>
          <t>Security</t>
        </is>
      </c>
      <c r="C40" s="322" t="inlineStr">
        <is>
          <t>Lead</t>
        </is>
      </c>
      <c r="D40" s="322" t="inlineStr">
        <is>
          <t>Grade 6</t>
        </is>
      </c>
      <c r="E40" s="323" t="n">
        <v>750</v>
      </c>
      <c r="F40" s="323" t="n">
        <v>900</v>
      </c>
      <c r="G40" s="323" t="n">
        <v>1050</v>
      </c>
      <c r="H40" s="322" t="inlineStr">
        <is>
          <t>Security governance across a programme; SIRO advisory</t>
        </is>
      </c>
      <c r="I40" s="180" t="inlineStr">
        <is>
          <t>6 — Initiate/Influence</t>
        </is>
      </c>
    </row>
    <row r="41" ht="19.5" customHeight="1" s="161">
      <c r="A41" s="320" t="inlineStr">
        <is>
          <t>Penetration Tester</t>
        </is>
      </c>
      <c r="B41" s="320" t="inlineStr">
        <is>
          <t>Security</t>
        </is>
      </c>
      <c r="C41" s="320" t="inlineStr">
        <is>
          <t>Mid</t>
        </is>
      </c>
      <c r="D41" s="320" t="inlineStr">
        <is>
          <t>SEO</t>
        </is>
      </c>
      <c r="E41" s="321" t="n">
        <v>475</v>
      </c>
      <c r="F41" s="321" t="n">
        <v>575</v>
      </c>
      <c r="G41" s="321" t="n">
        <v>675</v>
      </c>
      <c r="H41" s="320" t="inlineStr">
        <is>
          <t>Web app and infra pen testing; CREST/CHECK qualified</t>
        </is>
      </c>
      <c r="I41" s="176" t="inlineStr">
        <is>
          <t>4 — Enable</t>
        </is>
      </c>
    </row>
    <row r="42" ht="19.5" customHeight="1" s="161">
      <c r="A42" s="322" t="inlineStr">
        <is>
          <t>Penetration Tester</t>
        </is>
      </c>
      <c r="B42" s="322" t="inlineStr">
        <is>
          <t>Security</t>
        </is>
      </c>
      <c r="C42" s="322" t="inlineStr">
        <is>
          <t>Senior</t>
        </is>
      </c>
      <c r="D42" s="322" t="inlineStr">
        <is>
          <t>Grade 7</t>
        </is>
      </c>
      <c r="E42" s="323" t="n">
        <v>600</v>
      </c>
      <c r="F42" s="323" t="n">
        <v>725</v>
      </c>
      <c r="G42" s="323" t="n">
        <v>850</v>
      </c>
      <c r="H42" s="322" t="inlineStr">
        <is>
          <t>Complex pen test engagements; red team activities</t>
        </is>
      </c>
      <c r="I42" s="178" t="inlineStr">
        <is>
          <t>5 — Ensure/Advise</t>
        </is>
      </c>
    </row>
    <row r="43" ht="19.5" customHeight="1" s="161">
      <c r="A43" s="320" t="inlineStr">
        <is>
          <t>QA / Test Engineer</t>
        </is>
      </c>
      <c r="B43" s="320" t="inlineStr">
        <is>
          <t>QA</t>
        </is>
      </c>
      <c r="C43" s="320" t="inlineStr">
        <is>
          <t>Junior</t>
        </is>
      </c>
      <c r="D43" s="320" t="inlineStr">
        <is>
          <t>HEO</t>
        </is>
      </c>
      <c r="E43" s="321" t="n">
        <v>275</v>
      </c>
      <c r="F43" s="321" t="n">
        <v>350</v>
      </c>
      <c r="G43" s="321" t="n">
        <v>425</v>
      </c>
      <c r="H43" s="320" t="inlineStr">
        <is>
          <t>Manual and basic automated testing; test case writing</t>
        </is>
      </c>
      <c r="I43" s="249" t="inlineStr">
        <is>
          <t>2 — Assist</t>
        </is>
      </c>
    </row>
    <row r="44" ht="19.5" customHeight="1" s="161">
      <c r="A44" s="322" t="inlineStr">
        <is>
          <t>QA / Test Engineer</t>
        </is>
      </c>
      <c r="B44" s="322" t="inlineStr">
        <is>
          <t>QA</t>
        </is>
      </c>
      <c r="C44" s="322" t="inlineStr">
        <is>
          <t>Mid</t>
        </is>
      </c>
      <c r="D44" s="322" t="inlineStr">
        <is>
          <t>SEO</t>
        </is>
      </c>
      <c r="E44" s="323" t="n">
        <v>375</v>
      </c>
      <c r="F44" s="323" t="n">
        <v>450</v>
      </c>
      <c r="G44" s="323" t="n">
        <v>550</v>
      </c>
      <c r="H44" s="322" t="inlineStr">
        <is>
          <t>Automated test frameworks (Selenium/Playwright/Cypress)</t>
        </is>
      </c>
      <c r="I44" s="174" t="inlineStr">
        <is>
          <t>3 — Apply</t>
        </is>
      </c>
    </row>
    <row r="45" ht="19.5" customHeight="1" s="161">
      <c r="A45" s="320" t="inlineStr">
        <is>
          <t>QA / Test Engineer</t>
        </is>
      </c>
      <c r="B45" s="320" t="inlineStr">
        <is>
          <t>QA</t>
        </is>
      </c>
      <c r="C45" s="320" t="inlineStr">
        <is>
          <t>Senior</t>
        </is>
      </c>
      <c r="D45" s="320" t="inlineStr">
        <is>
          <t>Grade 7</t>
        </is>
      </c>
      <c r="E45" s="321" t="n">
        <v>475</v>
      </c>
      <c r="F45" s="321" t="n">
        <v>575</v>
      </c>
      <c r="G45" s="321" t="n">
        <v>675</v>
      </c>
      <c r="H45" s="320" t="inlineStr">
        <is>
          <t>Test strategy; performance and accessibility testing</t>
        </is>
      </c>
      <c r="I45" s="176" t="inlineStr">
        <is>
          <t>4 — Enable</t>
        </is>
      </c>
    </row>
    <row r="46" ht="19.5" customHeight="1" s="161">
      <c r="A46" s="322" t="inlineStr">
        <is>
          <t>QA / Test Engineer</t>
        </is>
      </c>
      <c r="B46" s="322" t="inlineStr">
        <is>
          <t>QA</t>
        </is>
      </c>
      <c r="C46" s="322" t="inlineStr">
        <is>
          <t>Lead</t>
        </is>
      </c>
      <c r="D46" s="322" t="inlineStr">
        <is>
          <t>Grade 6</t>
        </is>
      </c>
      <c r="E46" s="323" t="n">
        <v>575</v>
      </c>
      <c r="F46" s="323" t="n">
        <v>700</v>
      </c>
      <c r="G46" s="323" t="n">
        <v>800</v>
      </c>
      <c r="H46" s="322" t="inlineStr">
        <is>
          <t>Quality assurance across programme; tooling standards</t>
        </is>
      </c>
      <c r="I46" s="178" t="inlineStr">
        <is>
          <t>5 — Ensure/Advise</t>
        </is>
      </c>
    </row>
    <row r="47" ht="19.5" customHeight="1" s="161">
      <c r="A47" s="320" t="inlineStr">
        <is>
          <t>Business Analyst</t>
        </is>
      </c>
      <c r="B47" s="320" t="inlineStr">
        <is>
          <t>Delivery</t>
        </is>
      </c>
      <c r="C47" s="320" t="inlineStr">
        <is>
          <t>Junior</t>
        </is>
      </c>
      <c r="D47" s="320" t="inlineStr">
        <is>
          <t>HEO</t>
        </is>
      </c>
      <c r="E47" s="321" t="n">
        <v>275</v>
      </c>
      <c r="F47" s="321" t="n">
        <v>350</v>
      </c>
      <c r="G47" s="321" t="n">
        <v>425</v>
      </c>
      <c r="H47" s="320" t="inlineStr">
        <is>
          <t>Requirements elicitation; process mapping support</t>
        </is>
      </c>
      <c r="I47" s="174" t="inlineStr">
        <is>
          <t>3 — Apply</t>
        </is>
      </c>
    </row>
    <row r="48" ht="19.5" customHeight="1" s="161">
      <c r="A48" s="322" t="inlineStr">
        <is>
          <t>Business Analyst</t>
        </is>
      </c>
      <c r="B48" s="322" t="inlineStr">
        <is>
          <t>Delivery</t>
        </is>
      </c>
      <c r="C48" s="322" t="inlineStr">
        <is>
          <t>Mid</t>
        </is>
      </c>
      <c r="D48" s="322" t="inlineStr">
        <is>
          <t>SEO</t>
        </is>
      </c>
      <c r="E48" s="323" t="n">
        <v>350</v>
      </c>
      <c r="F48" s="323" t="n">
        <v>425</v>
      </c>
      <c r="G48" s="323" t="n">
        <v>525</v>
      </c>
      <c r="H48" s="322" t="inlineStr">
        <is>
          <t>Owns requirements; facilitates workshops; AS-IS/TO-BE</t>
        </is>
      </c>
      <c r="I48" s="176" t="inlineStr">
        <is>
          <t>4 — Enable</t>
        </is>
      </c>
    </row>
    <row r="49" ht="19.5" customHeight="1" s="161">
      <c r="A49" s="320" t="inlineStr">
        <is>
          <t>Business Analyst</t>
        </is>
      </c>
      <c r="B49" s="320" t="inlineStr">
        <is>
          <t>Delivery</t>
        </is>
      </c>
      <c r="C49" s="320" t="inlineStr">
        <is>
          <t>Senior</t>
        </is>
      </c>
      <c r="D49" s="320" t="inlineStr">
        <is>
          <t>Grade 7</t>
        </is>
      </c>
      <c r="E49" s="321" t="n">
        <v>450</v>
      </c>
      <c r="F49" s="321" t="n">
        <v>550</v>
      </c>
      <c r="G49" s="321" t="n">
        <v>650</v>
      </c>
      <c r="H49" s="320" t="inlineStr">
        <is>
          <t>Complex BA on multi-workstream programmes; stakeholder management</t>
        </is>
      </c>
      <c r="I49" s="178" t="inlineStr">
        <is>
          <t>5 — Ensure/Advise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2026-05-04T14:13:05Z</dcterms:created>
  <dcterms:modified xmlns:dcterms="http://purl.org/dc/terms/" xmlns:xsi="http://www.w3.org/2001/XMLSchema-instance" xsi:type="dcterms:W3CDTF">2026-05-04T14:18:09Z</dcterms:modified>
  <cp:revision>0</cp:revision>
</cp:coreProperties>
</file>